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Lists" sheetId="2" state="visible" r:id="rId4"/>
    <sheet name="Pipeline" sheetId="3" state="visible" r:id="rId5"/>
    <sheet name="Dashboard" sheetId="4" state="visible" r:id="rId6"/>
    <sheet name="Activ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<sst xmlns="http://schemas.openxmlformats.org/spreadsheetml/2006/main" count="260" uniqueCount="176">
  <si>
    <t xml:space="preserve">MARHANA &amp; CO CONSULTING LTD — SALES PIPELINE TRACKER</t>
  </si>
  <si>
    <t xml:space="preserve">The Company's own pipeline. This is not T18, which reports opportunities to a retainer client.</t>
  </si>
  <si>
    <t xml:space="preserve">HOW TO USE</t>
  </si>
  <si>
    <t xml:space="preserve">1.</t>
  </si>
  <si>
    <t xml:space="preserve">Add one row per opportunity on the Pipeline sheet. Blue cells are for you to type in; black cells calculate themselves — do not overwrite them.</t>
  </si>
  <si>
    <t xml:space="preserve">2.</t>
  </si>
  <si>
    <t xml:space="preserve">Stage, Sector, Service, Source and Outcome are dropdowns. Their contents are on the Lists sheet — edit them there, not in the Pipeline sheet.</t>
  </si>
  <si>
    <t xml:space="preserve">3.</t>
  </si>
  <si>
    <t xml:space="preserve">Probability fills in automatically from the Stage. Override it in column J only where you have a specific reason, and note the reason in Notes.</t>
  </si>
  <si>
    <t xml:space="preserve">4.</t>
  </si>
  <si>
    <t xml:space="preserve">Fill in 'Next action' and 'Next action date' on every live row. A row with no next action is not a pipeline entry, it is a memory.</t>
  </si>
  <si>
    <t xml:space="preserve">5.</t>
  </si>
  <si>
    <t xml:space="preserve">Work the Pipeline sheet weekly. Sort by 'Days since contact' and deal with the top of the list first.</t>
  </si>
  <si>
    <t xml:space="preserve">6.</t>
  </si>
  <si>
    <t xml:space="preserve">The Dashboard updates automatically. Read it at the start of each week and at the monthly review.</t>
  </si>
  <si>
    <t xml:space="preserve">7.</t>
  </si>
  <si>
    <t xml:space="preserve">Log every call, email and meeting on the Activity sheet. Outreach volume is the one number in this workbook you fully control.</t>
  </si>
  <si>
    <t xml:space="preserve">COLOUR KEY</t>
  </si>
  <si>
    <t xml:space="preserve">Blue text</t>
  </si>
  <si>
    <t xml:space="preserve">You type here</t>
  </si>
  <si>
    <t xml:space="preserve">Black text</t>
  </si>
  <si>
    <t xml:space="preserve">Calculated — leave alone</t>
  </si>
  <si>
    <t xml:space="preserve">Yellow fill</t>
  </si>
  <si>
    <t xml:space="preserve">Assumption you should set before using the workbook</t>
  </si>
  <si>
    <t xml:space="preserve">THE STAGES</t>
  </si>
  <si>
    <t xml:space="preserve">1. Identified</t>
  </si>
  <si>
    <t xml:space="preserve">You know the organisation exists and looks like a fit. No contact yet.</t>
  </si>
  <si>
    <t xml:space="preserve">2. Contacted</t>
  </si>
  <si>
    <t xml:space="preserve">You have made contact. No response yet.</t>
  </si>
  <si>
    <t xml:space="preserve">3. Engaged</t>
  </si>
  <si>
    <t xml:space="preserve">They have replied and a conversation is happening.</t>
  </si>
  <si>
    <t xml:space="preserve">4. Qualified</t>
  </si>
  <si>
    <t xml:space="preserve">You have established they have a live need, a budget and someone who can decide.</t>
  </si>
  <si>
    <t xml:space="preserve">5. Proposal sent</t>
  </si>
  <si>
    <t xml:space="preserve">A Proposal and Fee Quotation (T14) has been issued.</t>
  </si>
  <si>
    <t xml:space="preserve">6. Negotiating</t>
  </si>
  <si>
    <t xml:space="preserve">They are discussing scope, price or timing.</t>
  </si>
  <si>
    <t xml:space="preserve">7. Won</t>
  </si>
  <si>
    <t xml:space="preserve">Terms of Engagement accepted. Move the fee to the Won column.</t>
  </si>
  <si>
    <t xml:space="preserve">8. Lost</t>
  </si>
  <si>
    <t xml:space="preserve">Record the reason. The reason is worth more than the entry.</t>
  </si>
  <si>
    <t xml:space="preserve">9. Dormant</t>
  </si>
  <si>
    <t xml:space="preserve">No decision, no fault. Set a review date and stop chasing weekly.</t>
  </si>
  <si>
    <t xml:space="preserve">A NOTE ON WEIGHTED VALUE</t>
  </si>
  <si>
    <t xml:space="preserve">Weighted value is the mid-point of the fee band multiplied by the probability. It is a planning figure, not a forecast. With a small number of opportunities it will be wrong in any given month; it is useful only as a trend across several.</t>
  </si>
  <si>
    <t xml:space="preserve">PICK LISTS — edit here, the dropdowns follow</t>
  </si>
  <si>
    <t xml:space="preserve">Stage</t>
  </si>
  <si>
    <t xml:space="preserve">Default probability</t>
  </si>
  <si>
    <t xml:space="preserve">Sector</t>
  </si>
  <si>
    <t xml:space="preserve">Service</t>
  </si>
  <si>
    <t xml:space="preserve">Source</t>
  </si>
  <si>
    <t xml:space="preserve">Outcome reason</t>
  </si>
  <si>
    <t xml:space="preserve">Fee band mid-points (from the Schedule of Fees)</t>
  </si>
  <si>
    <t xml:space="preserve">Construction and trades</t>
  </si>
  <si>
    <t xml:space="preserve">Bid Fit Score</t>
  </si>
  <si>
    <t xml:space="preserve">Referral — existing client</t>
  </si>
  <si>
    <t xml:space="preserve">Won</t>
  </si>
  <si>
    <t xml:space="preserve">Low</t>
  </si>
  <si>
    <t xml:space="preserve">High</t>
  </si>
  <si>
    <t xml:space="preserve">Mid</t>
  </si>
  <si>
    <t xml:space="preserve">Health and social care</t>
  </si>
  <si>
    <t xml:space="preserve">Bid Readiness Assessment</t>
  </si>
  <si>
    <t xml:space="preserve">Referral — partner</t>
  </si>
  <si>
    <t xml:space="preserve">Lost — price</t>
  </si>
  <si>
    <t xml:space="preserve">NHS-adjacent supply</t>
  </si>
  <si>
    <t xml:space="preserve">Post-tender debrief analysis</t>
  </si>
  <si>
    <t xml:space="preserve">Personal network</t>
  </si>
  <si>
    <t xml:space="preserve">Lost — chose a competitor</t>
  </si>
  <si>
    <t xml:space="preserve">Facilities management</t>
  </si>
  <si>
    <t xml:space="preserve">Bid review and rewrite</t>
  </si>
  <si>
    <t xml:space="preserve">Cold outreach — email</t>
  </si>
  <si>
    <t xml:space="preserve">Lost — did it in house</t>
  </si>
  <si>
    <t xml:space="preserve">Housing and maintenance</t>
  </si>
  <si>
    <t xml:space="preserve">Tender and PQQ writing</t>
  </si>
  <si>
    <t xml:space="preserve">Cold outreach — LinkedIn</t>
  </si>
  <si>
    <t xml:space="preserve">Lost — decided not to bid</t>
  </si>
  <si>
    <t xml:space="preserve">Education supply</t>
  </si>
  <si>
    <t xml:space="preserve">Social value statements</t>
  </si>
  <si>
    <t xml:space="preserve">Cold outreach — telephone</t>
  </si>
  <si>
    <t xml:space="preserve">Lost — no track record / too new</t>
  </si>
  <si>
    <t xml:space="preserve">Professional services</t>
  </si>
  <si>
    <t xml:space="preserve">Financial and costed business case</t>
  </si>
  <si>
    <t xml:space="preserve">Inbound — website</t>
  </si>
  <si>
    <t xml:space="preserve">Lost — timing</t>
  </si>
  <si>
    <t xml:space="preserve">Other</t>
  </si>
  <si>
    <t xml:space="preserve">Accreditation support</t>
  </si>
  <si>
    <t xml:space="preserve">Event</t>
  </si>
  <si>
    <t xml:space="preserve">No decision — went quiet</t>
  </si>
  <si>
    <t xml:space="preserve">Evidence Bank development</t>
  </si>
  <si>
    <t xml:space="preserve">Contract Finder / Find a Tender research</t>
  </si>
  <si>
    <t xml:space="preserve">Disqualified on conflict</t>
  </si>
  <si>
    <t xml:space="preserve">Framework applications</t>
  </si>
  <si>
    <t xml:space="preserve">Withdrew</t>
  </si>
  <si>
    <t xml:space="preserve">Consortium bid coordination</t>
  </si>
  <si>
    <t xml:space="preserve">Contract mobilisation</t>
  </si>
  <si>
    <t xml:space="preserve">Social value delivery reporting</t>
  </si>
  <si>
    <t xml:space="preserve">Retainer</t>
  </si>
  <si>
    <t xml:space="preserve">Retainer: set the monthly fee manually on the Pipeline sheet — tiers are not fixed.</t>
  </si>
  <si>
    <t xml:space="preserve">PIPELINE</t>
  </si>
  <si>
    <t xml:space="preserve">Blue = you type. Black = calculated. Row 4 is a worked example — delete it before use.</t>
  </si>
  <si>
    <t xml:space="preserve">Ref</t>
  </si>
  <si>
    <t xml:space="preserve">Date added</t>
  </si>
  <si>
    <t xml:space="preserve">Organisation</t>
  </si>
  <si>
    <t xml:space="preserve">Contact name</t>
  </si>
  <si>
    <t xml:space="preserve">Contact details</t>
  </si>
  <si>
    <t xml:space="preserve">Prob.</t>
  </si>
  <si>
    <t xml:space="preserve">Fee low</t>
  </si>
  <si>
    <t xml:space="preserve">Fee high</t>
  </si>
  <si>
    <t xml:space="preserve">Weighted</t>
  </si>
  <si>
    <t xml:space="preserve">Quote sent</t>
  </si>
  <si>
    <t xml:space="preserve">Decision due</t>
  </si>
  <si>
    <t xml:space="preserve">Last contact</t>
  </si>
  <si>
    <t xml:space="preserve">Days since</t>
  </si>
  <si>
    <t xml:space="preserve">Next action</t>
  </si>
  <si>
    <t xml:space="preserve">Next action date</t>
  </si>
  <si>
    <t xml:space="preserve">Outcome</t>
  </si>
  <si>
    <t xml:space="preserve">Notes</t>
  </si>
  <si>
    <t xml:space="preserve">OPP-001</t>
  </si>
  <si>
    <t xml:space="preserve">[Example] Northgate Roofing Ltd</t>
  </si>
  <si>
    <t xml:space="preserve">A. Example</t>
  </si>
  <si>
    <t xml:space="preserve">example@… / 020 0000 0000</t>
  </si>
  <si>
    <t xml:space="preserve">Send T14 quotation</t>
  </si>
  <si>
    <t xml:space="preserve">Chasing a council framework; no evidence bank at all</t>
  </si>
  <si>
    <t xml:space="preserve">TOTALS</t>
  </si>
  <si>
    <t xml:space="preserve">Weighted total is a planning figure, not a forecast.</t>
  </si>
  <si>
    <t xml:space="preserve">DASHBOARD</t>
  </si>
  <si>
    <t xml:space="preserve">All figures calculate from the Pipeline and Activity sheets.</t>
  </si>
  <si>
    <t xml:space="preserve">BY STAGE</t>
  </si>
  <si>
    <t xml:space="preserve">Count</t>
  </si>
  <si>
    <t xml:space="preserve">TOTAL</t>
  </si>
  <si>
    <t xml:space="preserve">HEADLINE NUMBERS</t>
  </si>
  <si>
    <t xml:space="preserve">Measure</t>
  </si>
  <si>
    <t xml:space="preserve">Value</t>
  </si>
  <si>
    <t xml:space="preserve">What it tells you</t>
  </si>
  <si>
    <t xml:space="preserve">Live opportunities (stages 1–6)</t>
  </si>
  <si>
    <t xml:space="preserve">Everything still in play</t>
  </si>
  <si>
    <t xml:space="preserve">Weighted value of live pipeline</t>
  </si>
  <si>
    <t xml:space="preserve">Planning figure only — read the trend, not the number</t>
  </si>
  <si>
    <t xml:space="preserve">Won this period</t>
  </si>
  <si>
    <t xml:space="preserve">Count of engagements accepted</t>
  </si>
  <si>
    <t xml:space="preserve">Value won (mid-point)</t>
  </si>
  <si>
    <t xml:space="preserve">Mid-point of the fee bands for won work</t>
  </si>
  <si>
    <t xml:space="preserve">Lost</t>
  </si>
  <si>
    <t xml:space="preserve">Win rate on decided opportunities</t>
  </si>
  <si>
    <t xml:space="preserve">Won divided by won plus lost. Ignore it below about 10 decisions</t>
  </si>
  <si>
    <t xml:space="preserve">Proposals out awaiting decision</t>
  </si>
  <si>
    <t xml:space="preserve">Quotations issued and not yet answered</t>
  </si>
  <si>
    <t xml:space="preserve">Opportunities with no contact in 21 days</t>
  </si>
  <si>
    <t xml:space="preserve">Your follow-up backlog</t>
  </si>
  <si>
    <t xml:space="preserve">Overdue next actions</t>
  </si>
  <si>
    <t xml:space="preserve">Things you said you would do and have not</t>
  </si>
  <si>
    <t xml:space="preserve">Outreach logged, last 30 days</t>
  </si>
  <si>
    <t xml:space="preserve">The one number you fully control</t>
  </si>
  <si>
    <t xml:space="preserve">Outreach logged, last 7 days</t>
  </si>
  <si>
    <t xml:space="preserve">Weekly activity</t>
  </si>
  <si>
    <t xml:space="preserve">BY SECTOR</t>
  </si>
  <si>
    <t xml:space="preserve">BY SOURCE — where work actually comes from</t>
  </si>
  <si>
    <t xml:space="preserve">Live count</t>
  </si>
  <si>
    <t xml:space="preserve">Weighted value</t>
  </si>
  <si>
    <t xml:space="preserve">WHY WE LOSE</t>
  </si>
  <si>
    <t xml:space="preserve">Reason</t>
  </si>
  <si>
    <t xml:space="preserve">The commonest loss reason is the one to fix. If it is 'no track record', the fix is a case study, not a better proposal.</t>
  </si>
  <si>
    <t xml:space="preserve">OUTREACH AND CONTACT LOG</t>
  </si>
  <si>
    <t xml:space="preserve">Every call, email, message and meeting. Row 4 is an example — delete it.</t>
  </si>
  <si>
    <t xml:space="preserve">Date</t>
  </si>
  <si>
    <t xml:space="preserve">Person</t>
  </si>
  <si>
    <t xml:space="preserve">Channel</t>
  </si>
  <si>
    <t xml:space="preserve">Purpose</t>
  </si>
  <si>
    <t xml:space="preserve">What happened</t>
  </si>
  <si>
    <t xml:space="preserve">Linked opportunity ref</t>
  </si>
  <si>
    <t xml:space="preserve">Follow-up date</t>
  </si>
  <si>
    <t xml:space="preserve">Done</t>
  </si>
  <si>
    <t xml:space="preserve">Telephone</t>
  </si>
  <si>
    <t xml:space="preserve">Qualify need</t>
  </si>
  <si>
    <t xml:space="preserve">Confirmed they are chasing a council framework and have no evidence bank. Quotation to follow.</t>
  </si>
  <si>
    <t xml:space="preserve">Yes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</si>
</sst>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\£#,##0"/>
    <numFmt numFmtId="167" formatCode="dd/mm/yyyy"/>
    <numFmt numFmtId="168" formatCode="\£#,##0;&quot;(£&quot;#,##0\);\-"/>
    <numFmt numFmtId="169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4A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3" t="s">
        <v>2</v>
      </c>
      <c r="B5" s="4"/>
    </row>
    <row r="6" customFormat="false" ht="23.85" hidden="false" customHeight="false" outlineLevel="0" collapsed="false">
      <c r="A6" s="5" t="s">
        <v>3</v>
      </c>
      <c r="B6" s="4" t="s">
        <v>4</v>
      </c>
    </row>
    <row r="7" customFormat="false" ht="23.85" hidden="false" customHeight="false" outlineLevel="0" collapsed="false">
      <c r="A7" s="5" t="s">
        <v>5</v>
      </c>
      <c r="B7" s="4" t="s">
        <v>6</v>
      </c>
    </row>
    <row r="8" customFormat="false" ht="23.85" hidden="false" customHeight="false" outlineLevel="0" collapsed="false">
      <c r="A8" s="5" t="s">
        <v>7</v>
      </c>
      <c r="B8" s="4" t="s">
        <v>8</v>
      </c>
    </row>
    <row r="9" customFormat="false" ht="15" hidden="false" customHeight="false" outlineLevel="0" collapsed="false">
      <c r="A9" s="5" t="s">
        <v>9</v>
      </c>
      <c r="B9" s="4" t="s">
        <v>10</v>
      </c>
    </row>
    <row r="10" customFormat="false" ht="15" hidden="false" customHeight="false" outlineLevel="0" collapsed="false">
      <c r="A10" s="5" t="s">
        <v>11</v>
      </c>
      <c r="B10" s="4" t="s">
        <v>12</v>
      </c>
    </row>
    <row r="11" customFormat="false" ht="15" hidden="false" customHeight="false" outlineLevel="0" collapsed="false">
      <c r="A11" s="5" t="s">
        <v>13</v>
      </c>
      <c r="B11" s="4" t="s">
        <v>14</v>
      </c>
    </row>
    <row r="12" customFormat="false" ht="15" hidden="false" customHeight="false" outlineLevel="0" collapsed="false">
      <c r="A12" s="5" t="s">
        <v>15</v>
      </c>
      <c r="B12" s="4" t="s">
        <v>16</v>
      </c>
    </row>
    <row r="13" customFormat="false" ht="15" hidden="false" customHeight="false" outlineLevel="0" collapsed="false">
      <c r="A13" s="3"/>
      <c r="B13" s="4"/>
    </row>
    <row r="14" customFormat="false" ht="15" hidden="false" customHeight="false" outlineLevel="0" collapsed="false">
      <c r="A14" s="3" t="s">
        <v>17</v>
      </c>
      <c r="B14" s="4"/>
    </row>
    <row r="15" customFormat="false" ht="15" hidden="false" customHeight="false" outlineLevel="0" collapsed="false">
      <c r="A15" s="6" t="s">
        <v>18</v>
      </c>
      <c r="B15" s="4" t="s">
        <v>19</v>
      </c>
    </row>
    <row r="16" customFormat="false" ht="15" hidden="false" customHeight="false" outlineLevel="0" collapsed="false">
      <c r="A16" s="5" t="s">
        <v>20</v>
      </c>
      <c r="B16" s="4" t="s">
        <v>21</v>
      </c>
    </row>
    <row r="17" customFormat="false" ht="15" hidden="false" customHeight="false" outlineLevel="0" collapsed="false">
      <c r="A17" s="7" t="s">
        <v>22</v>
      </c>
      <c r="B17" s="4" t="s">
        <v>23</v>
      </c>
    </row>
    <row r="18" customFormat="false" ht="15" hidden="false" customHeight="false" outlineLevel="0" collapsed="false">
      <c r="A18" s="3"/>
      <c r="B18" s="4"/>
    </row>
    <row r="19" customFormat="false" ht="15" hidden="false" customHeight="false" outlineLevel="0" collapsed="false">
      <c r="A19" s="3" t="s">
        <v>24</v>
      </c>
      <c r="B19" s="4"/>
    </row>
    <row r="20" customFormat="false" ht="15" hidden="false" customHeight="false" outlineLevel="0" collapsed="false">
      <c r="A20" s="5" t="s">
        <v>25</v>
      </c>
      <c r="B20" s="4" t="s">
        <v>26</v>
      </c>
    </row>
    <row r="21" customFormat="false" ht="15" hidden="false" customHeight="false" outlineLevel="0" collapsed="false">
      <c r="A21" s="5" t="s">
        <v>27</v>
      </c>
      <c r="B21" s="4" t="s">
        <v>28</v>
      </c>
    </row>
    <row r="22" customFormat="false" ht="15" hidden="false" customHeight="false" outlineLevel="0" collapsed="false">
      <c r="A22" s="5" t="s">
        <v>29</v>
      </c>
      <c r="B22" s="4" t="s">
        <v>30</v>
      </c>
    </row>
    <row r="23" customFormat="false" ht="15" hidden="false" customHeight="false" outlineLevel="0" collapsed="false">
      <c r="A23" s="5" t="s">
        <v>31</v>
      </c>
      <c r="B23" s="4" t="s">
        <v>32</v>
      </c>
    </row>
    <row r="24" customFormat="false" ht="15" hidden="false" customHeight="false" outlineLevel="0" collapsed="false">
      <c r="A24" s="5" t="s">
        <v>33</v>
      </c>
      <c r="B24" s="4" t="s">
        <v>34</v>
      </c>
    </row>
    <row r="25" customFormat="false" ht="15" hidden="false" customHeight="false" outlineLevel="0" collapsed="false">
      <c r="A25" s="5" t="s">
        <v>35</v>
      </c>
      <c r="B25" s="4" t="s">
        <v>36</v>
      </c>
    </row>
    <row r="26" customFormat="false" ht="15" hidden="false" customHeight="false" outlineLevel="0" collapsed="false">
      <c r="A26" s="5" t="s">
        <v>37</v>
      </c>
      <c r="B26" s="4" t="s">
        <v>38</v>
      </c>
    </row>
    <row r="27" customFormat="false" ht="15" hidden="false" customHeight="false" outlineLevel="0" collapsed="false">
      <c r="A27" s="5" t="s">
        <v>39</v>
      </c>
      <c r="B27" s="4" t="s">
        <v>40</v>
      </c>
    </row>
    <row r="28" customFormat="false" ht="15" hidden="false" customHeight="false" outlineLevel="0" collapsed="false">
      <c r="A28" s="5" t="s">
        <v>41</v>
      </c>
      <c r="B28" s="4" t="s">
        <v>42</v>
      </c>
    </row>
    <row r="29" customFormat="false" ht="15" hidden="false" customHeight="false" outlineLevel="0" collapsed="false">
      <c r="A29" s="3"/>
      <c r="B29" s="4"/>
    </row>
    <row r="30" customFormat="false" ht="15" hidden="false" customHeight="false" outlineLevel="0" collapsed="false">
      <c r="A30" s="3" t="s">
        <v>43</v>
      </c>
      <c r="B30" s="4"/>
    </row>
    <row r="31" customFormat="false" ht="23.85" hidden="false" customHeight="false" outlineLevel="0" collapsed="false">
      <c r="A31" s="5"/>
      <c r="B31" s="4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3"/>
    <col collapsed="false" customWidth="true" hidden="false" outlineLevel="0" max="8" min="8" style="0" width="30"/>
    <col collapsed="false" customWidth="true" hidden="false" outlineLevel="0" max="11" min="9" style="0" width="10"/>
  </cols>
  <sheetData>
    <row r="1" customFormat="false" ht="17.35" hidden="false" customHeight="false" outlineLevel="0" collapsed="false">
      <c r="A1" s="1" t="s">
        <v>45</v>
      </c>
    </row>
    <row r="3" customFormat="false" ht="33.75" hidden="false" customHeight="true" outlineLevel="0" collapsed="false">
      <c r="A3" s="8" t="s">
        <v>46</v>
      </c>
      <c r="B3" s="8" t="s">
        <v>47</v>
      </c>
      <c r="C3" s="8" t="s">
        <v>48</v>
      </c>
      <c r="D3" s="8" t="s">
        <v>49</v>
      </c>
      <c r="E3" s="8" t="s">
        <v>50</v>
      </c>
      <c r="F3" s="8" t="s">
        <v>51</v>
      </c>
      <c r="H3" s="3" t="s">
        <v>52</v>
      </c>
    </row>
    <row r="4" customFormat="false" ht="33.75" hidden="false" customHeight="true" outlineLevel="0" collapsed="false">
      <c r="A4" s="8" t="s">
        <v>25</v>
      </c>
      <c r="B4" s="9" t="n">
        <v>0.05</v>
      </c>
      <c r="C4" s="5" t="s">
        <v>53</v>
      </c>
      <c r="D4" s="5" t="s">
        <v>54</v>
      </c>
      <c r="E4" s="5" t="s">
        <v>55</v>
      </c>
      <c r="F4" s="5" t="s">
        <v>56</v>
      </c>
      <c r="H4" s="10" t="s">
        <v>49</v>
      </c>
      <c r="I4" s="10" t="s">
        <v>57</v>
      </c>
      <c r="J4" s="10" t="s">
        <v>58</v>
      </c>
      <c r="K4" s="10" t="s">
        <v>59</v>
      </c>
    </row>
    <row r="5" customFormat="false" ht="15" hidden="false" customHeight="false" outlineLevel="0" collapsed="false">
      <c r="A5" s="5" t="s">
        <v>27</v>
      </c>
      <c r="B5" s="9" t="n">
        <v>0.1</v>
      </c>
      <c r="C5" s="5" t="s">
        <v>60</v>
      </c>
      <c r="D5" s="5" t="s">
        <v>61</v>
      </c>
      <c r="E5" s="5" t="s">
        <v>62</v>
      </c>
      <c r="F5" s="5" t="s">
        <v>63</v>
      </c>
      <c r="H5" s="5" t="s">
        <v>54</v>
      </c>
      <c r="I5" s="11" t="n">
        <v>150</v>
      </c>
      <c r="J5" s="11" t="n">
        <v>350</v>
      </c>
      <c r="K5" s="11" t="n">
        <f aca="false">(I5+J5)/2</f>
        <v>250</v>
      </c>
    </row>
    <row r="6" customFormat="false" ht="15" hidden="false" customHeight="false" outlineLevel="0" collapsed="false">
      <c r="A6" s="5" t="s">
        <v>29</v>
      </c>
      <c r="B6" s="9" t="n">
        <v>0.2</v>
      </c>
      <c r="C6" s="5" t="s">
        <v>64</v>
      </c>
      <c r="D6" s="5" t="s">
        <v>65</v>
      </c>
      <c r="E6" s="5" t="s">
        <v>66</v>
      </c>
      <c r="F6" s="5" t="s">
        <v>67</v>
      </c>
      <c r="H6" s="5" t="s">
        <v>61</v>
      </c>
      <c r="I6" s="11" t="n">
        <v>250</v>
      </c>
      <c r="J6" s="11" t="n">
        <v>500</v>
      </c>
      <c r="K6" s="11" t="n">
        <f aca="false">(I6+J6)/2</f>
        <v>375</v>
      </c>
    </row>
    <row r="7" customFormat="false" ht="15" hidden="false" customHeight="false" outlineLevel="0" collapsed="false">
      <c r="A7" s="5" t="s">
        <v>31</v>
      </c>
      <c r="B7" s="9" t="n">
        <v>0.35</v>
      </c>
      <c r="C7" s="5" t="s">
        <v>68</v>
      </c>
      <c r="D7" s="5" t="s">
        <v>69</v>
      </c>
      <c r="E7" s="5" t="s">
        <v>70</v>
      </c>
      <c r="F7" s="5" t="s">
        <v>71</v>
      </c>
      <c r="H7" s="5" t="s">
        <v>65</v>
      </c>
      <c r="I7" s="11" t="n">
        <v>200</v>
      </c>
      <c r="J7" s="11" t="n">
        <v>450</v>
      </c>
      <c r="K7" s="11" t="n">
        <f aca="false">(I7+J7)/2</f>
        <v>325</v>
      </c>
    </row>
    <row r="8" customFormat="false" ht="15" hidden="false" customHeight="false" outlineLevel="0" collapsed="false">
      <c r="A8" s="5" t="s">
        <v>33</v>
      </c>
      <c r="B8" s="9" t="n">
        <v>0.5</v>
      </c>
      <c r="C8" s="5" t="s">
        <v>72</v>
      </c>
      <c r="D8" s="5" t="s">
        <v>73</v>
      </c>
      <c r="E8" s="5" t="s">
        <v>74</v>
      </c>
      <c r="F8" s="5" t="s">
        <v>75</v>
      </c>
      <c r="H8" s="5" t="s">
        <v>69</v>
      </c>
      <c r="I8" s="11" t="n">
        <v>250</v>
      </c>
      <c r="J8" s="11" t="n">
        <v>600</v>
      </c>
      <c r="K8" s="11" t="n">
        <f aca="false">(I8+J8)/2</f>
        <v>425</v>
      </c>
    </row>
    <row r="9" customFormat="false" ht="15" hidden="false" customHeight="false" outlineLevel="0" collapsed="false">
      <c r="A9" s="5" t="s">
        <v>35</v>
      </c>
      <c r="B9" s="9" t="n">
        <v>0.7</v>
      </c>
      <c r="C9" s="5" t="s">
        <v>76</v>
      </c>
      <c r="D9" s="5" t="s">
        <v>77</v>
      </c>
      <c r="E9" s="5" t="s">
        <v>78</v>
      </c>
      <c r="F9" s="5" t="s">
        <v>79</v>
      </c>
      <c r="H9" s="5" t="s">
        <v>73</v>
      </c>
      <c r="I9" s="11" t="n">
        <v>500</v>
      </c>
      <c r="J9" s="11" t="n">
        <v>2000</v>
      </c>
      <c r="K9" s="11" t="n">
        <f aca="false">(I9+J9)/2</f>
        <v>1250</v>
      </c>
    </row>
    <row r="10" customFormat="false" ht="15" hidden="false" customHeight="false" outlineLevel="0" collapsed="false">
      <c r="A10" s="5" t="s">
        <v>37</v>
      </c>
      <c r="B10" s="9" t="n">
        <v>1</v>
      </c>
      <c r="C10" s="5" t="s">
        <v>80</v>
      </c>
      <c r="D10" s="5" t="s">
        <v>81</v>
      </c>
      <c r="E10" s="5" t="s">
        <v>82</v>
      </c>
      <c r="F10" s="5" t="s">
        <v>83</v>
      </c>
      <c r="H10" s="5" t="s">
        <v>77</v>
      </c>
      <c r="I10" s="11" t="n">
        <v>300</v>
      </c>
      <c r="J10" s="11" t="n">
        <v>900</v>
      </c>
      <c r="K10" s="11" t="n">
        <f aca="false">(I10+J10)/2</f>
        <v>600</v>
      </c>
    </row>
    <row r="11" customFormat="false" ht="15" hidden="false" customHeight="false" outlineLevel="0" collapsed="false">
      <c r="A11" s="5" t="s">
        <v>39</v>
      </c>
      <c r="B11" s="9" t="n">
        <v>0</v>
      </c>
      <c r="C11" s="5" t="s">
        <v>84</v>
      </c>
      <c r="D11" s="5" t="s">
        <v>85</v>
      </c>
      <c r="E11" s="5" t="s">
        <v>86</v>
      </c>
      <c r="F11" s="5" t="s">
        <v>87</v>
      </c>
      <c r="H11" s="5" t="s">
        <v>81</v>
      </c>
      <c r="I11" s="11" t="n">
        <v>300</v>
      </c>
      <c r="J11" s="11" t="n">
        <v>800</v>
      </c>
      <c r="K11" s="11" t="n">
        <f aca="false">(I11+J11)/2</f>
        <v>550</v>
      </c>
    </row>
    <row r="12" customFormat="false" ht="15" hidden="false" customHeight="false" outlineLevel="0" collapsed="false">
      <c r="A12" s="5" t="s">
        <v>41</v>
      </c>
      <c r="B12" s="9" t="n">
        <v>0.05</v>
      </c>
      <c r="D12" s="5" t="s">
        <v>88</v>
      </c>
      <c r="E12" s="5" t="s">
        <v>89</v>
      </c>
      <c r="F12" s="5" t="s">
        <v>90</v>
      </c>
      <c r="H12" s="5" t="s">
        <v>85</v>
      </c>
      <c r="I12" s="11" t="n">
        <v>300</v>
      </c>
      <c r="J12" s="11" t="n">
        <v>700</v>
      </c>
      <c r="K12" s="11" t="n">
        <f aca="false">(I12+J12)/2</f>
        <v>500</v>
      </c>
    </row>
    <row r="13" customFormat="false" ht="15" hidden="false" customHeight="false" outlineLevel="0" collapsed="false">
      <c r="D13" s="5" t="s">
        <v>91</v>
      </c>
      <c r="E13" s="5" t="s">
        <v>84</v>
      </c>
      <c r="F13" s="5" t="s">
        <v>92</v>
      </c>
      <c r="H13" s="5" t="s">
        <v>88</v>
      </c>
      <c r="I13" s="11" t="n">
        <v>800</v>
      </c>
      <c r="J13" s="11" t="n">
        <v>2000</v>
      </c>
      <c r="K13" s="11" t="n">
        <f aca="false">(I13+J13)/2</f>
        <v>1400</v>
      </c>
    </row>
    <row r="14" customFormat="false" ht="15" hidden="false" customHeight="false" outlineLevel="0" collapsed="false">
      <c r="D14" s="5" t="s">
        <v>93</v>
      </c>
      <c r="H14" s="5" t="s">
        <v>91</v>
      </c>
      <c r="I14" s="11" t="n">
        <v>800</v>
      </c>
      <c r="J14" s="11" t="n">
        <v>2500</v>
      </c>
      <c r="K14" s="11" t="n">
        <f aca="false">(I14+J14)/2</f>
        <v>1650</v>
      </c>
    </row>
    <row r="15" customFormat="false" ht="15" hidden="false" customHeight="false" outlineLevel="0" collapsed="false">
      <c r="D15" s="5" t="s">
        <v>94</v>
      </c>
      <c r="H15" s="5" t="s">
        <v>93</v>
      </c>
      <c r="I15" s="11" t="n">
        <v>900</v>
      </c>
      <c r="J15" s="11" t="n">
        <v>2500</v>
      </c>
      <c r="K15" s="11" t="n">
        <f aca="false">(I15+J15)/2</f>
        <v>1700</v>
      </c>
    </row>
    <row r="16" customFormat="false" ht="15" hidden="false" customHeight="false" outlineLevel="0" collapsed="false">
      <c r="D16" s="5" t="s">
        <v>95</v>
      </c>
      <c r="H16" s="5" t="s">
        <v>94</v>
      </c>
      <c r="I16" s="11" t="n">
        <v>400</v>
      </c>
      <c r="J16" s="11" t="n">
        <v>1200</v>
      </c>
      <c r="K16" s="11" t="n">
        <f aca="false">(I16+J16)/2</f>
        <v>800</v>
      </c>
    </row>
    <row r="17" customFormat="false" ht="15" hidden="false" customHeight="false" outlineLevel="0" collapsed="false">
      <c r="D17" s="5" t="s">
        <v>96</v>
      </c>
      <c r="H17" s="5" t="s">
        <v>95</v>
      </c>
      <c r="I17" s="11" t="n">
        <v>300</v>
      </c>
      <c r="J17" s="11" t="n">
        <v>600</v>
      </c>
      <c r="K17" s="11" t="n">
        <f aca="false">(I17+J17)/2</f>
        <v>450</v>
      </c>
    </row>
    <row r="18" customFormat="false" ht="15" hidden="false" customHeight="false" outlineLevel="0" collapsed="false">
      <c r="H18" s="5" t="s">
        <v>96</v>
      </c>
      <c r="I18" s="11" t="n">
        <v>0</v>
      </c>
      <c r="J18" s="11" t="n">
        <v>0</v>
      </c>
      <c r="K18" s="11" t="n">
        <f aca="false">(I18+J18)/2</f>
        <v>0</v>
      </c>
    </row>
    <row r="19" customFormat="false" ht="15" hidden="false" customHeight="false" outlineLevel="0" collapsed="false">
      <c r="H19" s="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8"/>
    <col collapsed="false" customWidth="true" hidden="false" outlineLevel="0" max="13" min="11" style="0" width="11"/>
    <col collapsed="false" customWidth="true" hidden="false" outlineLevel="0" max="16" min="14" style="0" width="12"/>
    <col collapsed="false" customWidth="true" hidden="false" outlineLevel="0" max="17" min="17" style="0" width="10"/>
    <col collapsed="false" customWidth="true" hidden="false" outlineLevel="0" max="18" min="18" style="0" width="30"/>
    <col collapsed="false" customWidth="true" hidden="false" outlineLevel="0" max="19" min="19" style="0" width="14"/>
    <col collapsed="false" customWidth="true" hidden="false" outlineLevel="0" max="20" min="20" style="0" width="26"/>
    <col collapsed="false" customWidth="true" hidden="false" outlineLevel="0" max="21" min="21" style="0" width="36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3" customFormat="false" ht="33.75" hidden="false" customHeight="true" outlineLevel="0" collapsed="false">
      <c r="A3" s="8" t="s">
        <v>100</v>
      </c>
      <c r="B3" s="8" t="s">
        <v>101</v>
      </c>
      <c r="C3" s="8" t="s">
        <v>102</v>
      </c>
      <c r="D3" s="8" t="s">
        <v>103</v>
      </c>
      <c r="E3" s="8" t="s">
        <v>104</v>
      </c>
      <c r="F3" s="8" t="s">
        <v>48</v>
      </c>
      <c r="G3" s="8" t="s">
        <v>50</v>
      </c>
      <c r="H3" s="8" t="s">
        <v>49</v>
      </c>
      <c r="I3" s="8" t="s">
        <v>46</v>
      </c>
      <c r="J3" s="8" t="s">
        <v>105</v>
      </c>
      <c r="K3" s="8" t="s">
        <v>106</v>
      </c>
      <c r="L3" s="8" t="s">
        <v>107</v>
      </c>
      <c r="M3" s="8" t="s">
        <v>108</v>
      </c>
      <c r="N3" s="8" t="s">
        <v>109</v>
      </c>
      <c r="O3" s="8" t="s">
        <v>110</v>
      </c>
      <c r="P3" s="8" t="s">
        <v>111</v>
      </c>
      <c r="Q3" s="8" t="s">
        <v>112</v>
      </c>
      <c r="R3" s="8" t="s">
        <v>113</v>
      </c>
      <c r="S3" s="8" t="s">
        <v>114</v>
      </c>
      <c r="T3" s="8" t="s">
        <v>115</v>
      </c>
      <c r="U3" s="8" t="s">
        <v>116</v>
      </c>
    </row>
    <row r="4" customFormat="false" ht="23.85" hidden="false" customHeight="false" outlineLevel="0" collapsed="false">
      <c r="A4" s="12" t="s">
        <v>117</v>
      </c>
      <c r="B4" s="13" t="n">
        <f aca="false">DATE(2026,8,19)</f>
        <v>46253</v>
      </c>
      <c r="C4" s="12" t="s">
        <v>118</v>
      </c>
      <c r="D4" s="12" t="s">
        <v>119</v>
      </c>
      <c r="E4" s="12" t="s">
        <v>120</v>
      </c>
      <c r="F4" s="12" t="s">
        <v>53</v>
      </c>
      <c r="G4" s="12" t="s">
        <v>62</v>
      </c>
      <c r="H4" s="12" t="s">
        <v>61</v>
      </c>
      <c r="I4" s="12" t="s">
        <v>31</v>
      </c>
      <c r="J4" s="14" t="n">
        <f aca="false">IFERROR(INDEX(Lists!$B$4:$B$12,MATCH(I4,Lists!$A$4:$A$12,0)),"")</f>
        <v>0.35</v>
      </c>
      <c r="K4" s="15" t="n">
        <f aca="false">IFERROR(INDEX(Lists!$I$5:$I$18,MATCH(H4,Lists!$H$5:$H$18,0)),"")</f>
        <v>250</v>
      </c>
      <c r="L4" s="15" t="n">
        <f aca="false">IFERROR(INDEX(Lists!$J$5:$J$18,MATCH(H4,Lists!$H$5:$H$18,0)),"")</f>
        <v>500</v>
      </c>
      <c r="M4" s="15" t="n">
        <f aca="false">IFERROR(((K4+L4)/2)*J4,"")</f>
        <v>131.25</v>
      </c>
      <c r="N4" s="13"/>
      <c r="O4" s="13" t="n">
        <f aca="false">DATE(2026,9,25)</f>
        <v>46290</v>
      </c>
      <c r="P4" s="13" t="n">
        <f aca="false">DATE(2026,9,2)</f>
        <v>46267</v>
      </c>
      <c r="Q4" s="16" t="n">
        <f aca="true">IF(P4="","",TODAY()-P4)</f>
        <v>9</v>
      </c>
      <c r="R4" s="12" t="s">
        <v>121</v>
      </c>
      <c r="S4" s="13" t="n">
        <f aca="false">DATE(2026,9,15)</f>
        <v>46280</v>
      </c>
      <c r="T4" s="12"/>
      <c r="U4" s="12" t="s">
        <v>122</v>
      </c>
    </row>
    <row r="5" customFormat="false" ht="15" hidden="false" customHeight="false" outlineLevel="0" collapsed="false">
      <c r="A5" s="12"/>
      <c r="B5" s="13"/>
      <c r="C5" s="12"/>
      <c r="D5" s="12"/>
      <c r="E5" s="12"/>
      <c r="F5" s="12"/>
      <c r="G5" s="12"/>
      <c r="H5" s="12"/>
      <c r="I5" s="12"/>
      <c r="J5" s="14" t="str">
        <f aca="false">IFERROR(INDEX(Lists!$B$4:$B$12,MATCH(I5,Lists!$A$4:$A$12,0)),"")</f>
        <v/>
      </c>
      <c r="K5" s="15" t="str">
        <f aca="false">IFERROR(INDEX(Lists!$I$5:$I$18,MATCH(H5,Lists!$H$5:$H$18,0)),"")</f>
        <v/>
      </c>
      <c r="L5" s="15" t="str">
        <f aca="false">IFERROR(INDEX(Lists!$J$5:$J$18,MATCH(H5,Lists!$H$5:$H$18,0)),"")</f>
        <v/>
      </c>
      <c r="M5" s="15" t="str">
        <f aca="false">IFERROR(((K5+L5)/2)*J5,"")</f>
        <v/>
      </c>
      <c r="N5" s="13"/>
      <c r="O5" s="13"/>
      <c r="P5" s="13"/>
      <c r="Q5" s="16" t="str">
        <f aca="true">IF(P5="","",TODAY()-P5)</f>
        <v/>
      </c>
      <c r="R5" s="12"/>
      <c r="S5" s="13"/>
      <c r="T5" s="12"/>
      <c r="U5" s="12"/>
    </row>
    <row r="6" customFormat="false" ht="15" hidden="false" customHeight="false" outlineLevel="0" collapsed="false">
      <c r="A6" s="12"/>
      <c r="B6" s="13"/>
      <c r="C6" s="12"/>
      <c r="D6" s="12"/>
      <c r="E6" s="12"/>
      <c r="F6" s="12"/>
      <c r="G6" s="12"/>
      <c r="H6" s="12"/>
      <c r="I6" s="12"/>
      <c r="J6" s="14" t="str">
        <f aca="false">IFERROR(INDEX(Lists!$B$4:$B$12,MATCH(I6,Lists!$A$4:$A$12,0)),"")</f>
        <v/>
      </c>
      <c r="K6" s="15" t="str">
        <f aca="false">IFERROR(INDEX(Lists!$I$5:$I$18,MATCH(H6,Lists!$H$5:$H$18,0)),"")</f>
        <v/>
      </c>
      <c r="L6" s="15" t="str">
        <f aca="false">IFERROR(INDEX(Lists!$J$5:$J$18,MATCH(H6,Lists!$H$5:$H$18,0)),"")</f>
        <v/>
      </c>
      <c r="M6" s="15" t="str">
        <f aca="false">IFERROR(((K6+L6)/2)*J6,"")</f>
        <v/>
      </c>
      <c r="N6" s="13"/>
      <c r="O6" s="13"/>
      <c r="P6" s="13"/>
      <c r="Q6" s="16" t="str">
        <f aca="true">IF(P6="","",TODAY()-P6)</f>
        <v/>
      </c>
      <c r="R6" s="12"/>
      <c r="S6" s="13"/>
      <c r="T6" s="12"/>
      <c r="U6" s="12"/>
    </row>
    <row r="7" customFormat="false" ht="15" hidden="false" customHeight="false" outlineLevel="0" collapsed="false">
      <c r="A7" s="12"/>
      <c r="B7" s="13"/>
      <c r="C7" s="12"/>
      <c r="D7" s="12"/>
      <c r="E7" s="12"/>
      <c r="F7" s="12"/>
      <c r="G7" s="12"/>
      <c r="H7" s="12"/>
      <c r="I7" s="12"/>
      <c r="J7" s="14" t="str">
        <f aca="false">IFERROR(INDEX(Lists!$B$4:$B$12,MATCH(I7,Lists!$A$4:$A$12,0)),"")</f>
        <v/>
      </c>
      <c r="K7" s="15" t="str">
        <f aca="false">IFERROR(INDEX(Lists!$I$5:$I$18,MATCH(H7,Lists!$H$5:$H$18,0)),"")</f>
        <v/>
      </c>
      <c r="L7" s="15" t="str">
        <f aca="false">IFERROR(INDEX(Lists!$J$5:$J$18,MATCH(H7,Lists!$H$5:$H$18,0)),"")</f>
        <v/>
      </c>
      <c r="M7" s="15" t="str">
        <f aca="false">IFERROR(((K7+L7)/2)*J7,"")</f>
        <v/>
      </c>
      <c r="N7" s="13"/>
      <c r="O7" s="13"/>
      <c r="P7" s="13"/>
      <c r="Q7" s="16" t="str">
        <f aca="true">IF(P7="","",TODAY()-P7)</f>
        <v/>
      </c>
      <c r="R7" s="12"/>
      <c r="S7" s="13"/>
      <c r="T7" s="12"/>
      <c r="U7" s="12"/>
    </row>
    <row r="8" customFormat="false" ht="15" hidden="false" customHeight="false" outlineLevel="0" collapsed="false">
      <c r="A8" s="12"/>
      <c r="B8" s="13"/>
      <c r="C8" s="12"/>
      <c r="D8" s="12"/>
      <c r="E8" s="12"/>
      <c r="F8" s="12"/>
      <c r="G8" s="12"/>
      <c r="H8" s="12"/>
      <c r="I8" s="12"/>
      <c r="J8" s="14" t="str">
        <f aca="false">IFERROR(INDEX(Lists!$B$4:$B$12,MATCH(I8,Lists!$A$4:$A$12,0)),"")</f>
        <v/>
      </c>
      <c r="K8" s="15" t="str">
        <f aca="false">IFERROR(INDEX(Lists!$I$5:$I$18,MATCH(H8,Lists!$H$5:$H$18,0)),"")</f>
        <v/>
      </c>
      <c r="L8" s="15" t="str">
        <f aca="false">IFERROR(INDEX(Lists!$J$5:$J$18,MATCH(H8,Lists!$H$5:$H$18,0)),"")</f>
        <v/>
      </c>
      <c r="M8" s="15" t="str">
        <f aca="false">IFERROR(((K8+L8)/2)*J8,"")</f>
        <v/>
      </c>
      <c r="N8" s="13"/>
      <c r="O8" s="13"/>
      <c r="P8" s="13"/>
      <c r="Q8" s="16" t="str">
        <f aca="true">IF(P8="","",TODAY()-P8)</f>
        <v/>
      </c>
      <c r="R8" s="12"/>
      <c r="S8" s="13"/>
      <c r="T8" s="12"/>
      <c r="U8" s="12"/>
    </row>
    <row r="9" customFormat="false" ht="15" hidden="false" customHeight="false" outlineLevel="0" collapsed="false">
      <c r="A9" s="12"/>
      <c r="B9" s="13"/>
      <c r="C9" s="12"/>
      <c r="D9" s="12"/>
      <c r="E9" s="12"/>
      <c r="F9" s="12"/>
      <c r="G9" s="12"/>
      <c r="H9" s="12"/>
      <c r="I9" s="12"/>
      <c r="J9" s="14" t="str">
        <f aca="false">IFERROR(INDEX(Lists!$B$4:$B$12,MATCH(I9,Lists!$A$4:$A$12,0)),"")</f>
        <v/>
      </c>
      <c r="K9" s="15" t="str">
        <f aca="false">IFERROR(INDEX(Lists!$I$5:$I$18,MATCH(H9,Lists!$H$5:$H$18,0)),"")</f>
        <v/>
      </c>
      <c r="L9" s="15" t="str">
        <f aca="false">IFERROR(INDEX(Lists!$J$5:$J$18,MATCH(H9,Lists!$H$5:$H$18,0)),"")</f>
        <v/>
      </c>
      <c r="M9" s="15" t="str">
        <f aca="false">IFERROR(((K9+L9)/2)*J9,"")</f>
        <v/>
      </c>
      <c r="N9" s="13"/>
      <c r="O9" s="13"/>
      <c r="P9" s="13"/>
      <c r="Q9" s="16" t="str">
        <f aca="true">IF(P9="","",TODAY()-P9)</f>
        <v/>
      </c>
      <c r="R9" s="12"/>
      <c r="S9" s="13"/>
      <c r="T9" s="12"/>
      <c r="U9" s="12"/>
    </row>
    <row r="10" customFormat="false" ht="15" hidden="false" customHeight="false" outlineLevel="0" collapsed="false">
      <c r="A10" s="12"/>
      <c r="B10" s="13"/>
      <c r="C10" s="12"/>
      <c r="D10" s="12"/>
      <c r="E10" s="12"/>
      <c r="F10" s="12"/>
      <c r="G10" s="12"/>
      <c r="H10" s="12"/>
      <c r="I10" s="12"/>
      <c r="J10" s="14" t="str">
        <f aca="false">IFERROR(INDEX(Lists!$B$4:$B$12,MATCH(I10,Lists!$A$4:$A$12,0)),"")</f>
        <v/>
      </c>
      <c r="K10" s="15" t="str">
        <f aca="false">IFERROR(INDEX(Lists!$I$5:$I$18,MATCH(H10,Lists!$H$5:$H$18,0)),"")</f>
        <v/>
      </c>
      <c r="L10" s="15" t="str">
        <f aca="false">IFERROR(INDEX(Lists!$J$5:$J$18,MATCH(H10,Lists!$H$5:$H$18,0)),"")</f>
        <v/>
      </c>
      <c r="M10" s="15" t="str">
        <f aca="false">IFERROR(((K10+L10)/2)*J10,"")</f>
        <v/>
      </c>
      <c r="N10" s="13"/>
      <c r="O10" s="13"/>
      <c r="P10" s="13"/>
      <c r="Q10" s="16" t="str">
        <f aca="true">IF(P10="","",TODAY()-P10)</f>
        <v/>
      </c>
      <c r="R10" s="12"/>
      <c r="S10" s="13"/>
      <c r="T10" s="12"/>
      <c r="U10" s="12"/>
    </row>
    <row r="11" customFormat="false" ht="15" hidden="false" customHeight="false" outlineLevel="0" collapsed="false">
      <c r="A11" s="12"/>
      <c r="B11" s="13"/>
      <c r="C11" s="12"/>
      <c r="D11" s="12"/>
      <c r="E11" s="12"/>
      <c r="F11" s="12"/>
      <c r="G11" s="12"/>
      <c r="H11" s="12"/>
      <c r="I11" s="12"/>
      <c r="J11" s="14" t="str">
        <f aca="false">IFERROR(INDEX(Lists!$B$4:$B$12,MATCH(I11,Lists!$A$4:$A$12,0)),"")</f>
        <v/>
      </c>
      <c r="K11" s="15" t="str">
        <f aca="false">IFERROR(INDEX(Lists!$I$5:$I$18,MATCH(H11,Lists!$H$5:$H$18,0)),"")</f>
        <v/>
      </c>
      <c r="L11" s="15" t="str">
        <f aca="false">IFERROR(INDEX(Lists!$J$5:$J$18,MATCH(H11,Lists!$H$5:$H$18,0)),"")</f>
        <v/>
      </c>
      <c r="M11" s="15" t="str">
        <f aca="false">IFERROR(((K11+L11)/2)*J11,"")</f>
        <v/>
      </c>
      <c r="N11" s="13"/>
      <c r="O11" s="13"/>
      <c r="P11" s="13"/>
      <c r="Q11" s="16" t="str">
        <f aca="true">IF(P11="","",TODAY()-P11)</f>
        <v/>
      </c>
      <c r="R11" s="12"/>
      <c r="S11" s="13"/>
      <c r="T11" s="12"/>
      <c r="U11" s="12"/>
    </row>
    <row r="12" customFormat="false" ht="15" hidden="false" customHeight="false" outlineLevel="0" collapsed="false">
      <c r="A12" s="12"/>
      <c r="B12" s="13"/>
      <c r="C12" s="12"/>
      <c r="D12" s="12"/>
      <c r="E12" s="12"/>
      <c r="F12" s="12"/>
      <c r="G12" s="12"/>
      <c r="H12" s="12"/>
      <c r="I12" s="12"/>
      <c r="J12" s="14" t="str">
        <f aca="false">IFERROR(INDEX(Lists!$B$4:$B$12,MATCH(I12,Lists!$A$4:$A$12,0)),"")</f>
        <v/>
      </c>
      <c r="K12" s="15" t="str">
        <f aca="false">IFERROR(INDEX(Lists!$I$5:$I$18,MATCH(H12,Lists!$H$5:$H$18,0)),"")</f>
        <v/>
      </c>
      <c r="L12" s="15" t="str">
        <f aca="false">IFERROR(INDEX(Lists!$J$5:$J$18,MATCH(H12,Lists!$H$5:$H$18,0)),"")</f>
        <v/>
      </c>
      <c r="M12" s="15" t="str">
        <f aca="false">IFERROR(((K12+L12)/2)*J12,"")</f>
        <v/>
      </c>
      <c r="N12" s="13"/>
      <c r="O12" s="13"/>
      <c r="P12" s="13"/>
      <c r="Q12" s="16" t="str">
        <f aca="true">IF(P12="","",TODAY()-P12)</f>
        <v/>
      </c>
      <c r="R12" s="12"/>
      <c r="S12" s="13"/>
      <c r="T12" s="12"/>
      <c r="U12" s="12"/>
    </row>
    <row r="13" customFormat="false" ht="15" hidden="false" customHeight="false" outlineLevel="0" collapsed="false">
      <c r="A13" s="12"/>
      <c r="B13" s="13"/>
      <c r="C13" s="12"/>
      <c r="D13" s="12"/>
      <c r="E13" s="12"/>
      <c r="F13" s="12"/>
      <c r="G13" s="12"/>
      <c r="H13" s="12"/>
      <c r="I13" s="12"/>
      <c r="J13" s="14" t="str">
        <f aca="false">IFERROR(INDEX(Lists!$B$4:$B$12,MATCH(I13,Lists!$A$4:$A$12,0)),"")</f>
        <v/>
      </c>
      <c r="K13" s="15" t="str">
        <f aca="false">IFERROR(INDEX(Lists!$I$5:$I$18,MATCH(H13,Lists!$H$5:$H$18,0)),"")</f>
        <v/>
      </c>
      <c r="L13" s="15" t="str">
        <f aca="false">IFERROR(INDEX(Lists!$J$5:$J$18,MATCH(H13,Lists!$H$5:$H$18,0)),"")</f>
        <v/>
      </c>
      <c r="M13" s="15" t="str">
        <f aca="false">IFERROR(((K13+L13)/2)*J13,"")</f>
        <v/>
      </c>
      <c r="N13" s="13"/>
      <c r="O13" s="13"/>
      <c r="P13" s="13"/>
      <c r="Q13" s="16" t="str">
        <f aca="true">IF(P13="","",TODAY()-P13)</f>
        <v/>
      </c>
      <c r="R13" s="12"/>
      <c r="S13" s="13"/>
      <c r="T13" s="12"/>
      <c r="U13" s="12"/>
    </row>
    <row r="14" customFormat="false" ht="15" hidden="false" customHeight="false" outlineLevel="0" collapsed="false">
      <c r="A14" s="12"/>
      <c r="B14" s="13"/>
      <c r="C14" s="12"/>
      <c r="D14" s="12"/>
      <c r="E14" s="12"/>
      <c r="F14" s="12"/>
      <c r="G14" s="12"/>
      <c r="H14" s="12"/>
      <c r="I14" s="12"/>
      <c r="J14" s="14" t="str">
        <f aca="false">IFERROR(INDEX(Lists!$B$4:$B$12,MATCH(I14,Lists!$A$4:$A$12,0)),"")</f>
        <v/>
      </c>
      <c r="K14" s="15" t="str">
        <f aca="false">IFERROR(INDEX(Lists!$I$5:$I$18,MATCH(H14,Lists!$H$5:$H$18,0)),"")</f>
        <v/>
      </c>
      <c r="L14" s="15" t="str">
        <f aca="false">IFERROR(INDEX(Lists!$J$5:$J$18,MATCH(H14,Lists!$H$5:$H$18,0)),"")</f>
        <v/>
      </c>
      <c r="M14" s="15" t="str">
        <f aca="false">IFERROR(((K14+L14)/2)*J14,"")</f>
        <v/>
      </c>
      <c r="N14" s="13"/>
      <c r="O14" s="13"/>
      <c r="P14" s="13"/>
      <c r="Q14" s="16" t="str">
        <f aca="true">IF(P14="","",TODAY()-P14)</f>
        <v/>
      </c>
      <c r="R14" s="12"/>
      <c r="S14" s="13"/>
      <c r="T14" s="12"/>
      <c r="U14" s="12"/>
    </row>
    <row r="15" customFormat="false" ht="15" hidden="false" customHeight="false" outlineLevel="0" collapsed="false">
      <c r="A15" s="12"/>
      <c r="B15" s="13"/>
      <c r="C15" s="12"/>
      <c r="D15" s="12"/>
      <c r="E15" s="12"/>
      <c r="F15" s="12"/>
      <c r="G15" s="12"/>
      <c r="H15" s="12"/>
      <c r="I15" s="12"/>
      <c r="J15" s="14" t="str">
        <f aca="false">IFERROR(INDEX(Lists!$B$4:$B$12,MATCH(I15,Lists!$A$4:$A$12,0)),"")</f>
        <v/>
      </c>
      <c r="K15" s="15" t="str">
        <f aca="false">IFERROR(INDEX(Lists!$I$5:$I$18,MATCH(H15,Lists!$H$5:$H$18,0)),"")</f>
        <v/>
      </c>
      <c r="L15" s="15" t="str">
        <f aca="false">IFERROR(INDEX(Lists!$J$5:$J$18,MATCH(H15,Lists!$H$5:$H$18,0)),"")</f>
        <v/>
      </c>
      <c r="M15" s="15" t="str">
        <f aca="false">IFERROR(((K15+L15)/2)*J15,"")</f>
        <v/>
      </c>
      <c r="N15" s="13"/>
      <c r="O15" s="13"/>
      <c r="P15" s="13"/>
      <c r="Q15" s="16" t="str">
        <f aca="true">IF(P15="","",TODAY()-P15)</f>
        <v/>
      </c>
      <c r="R15" s="12"/>
      <c r="S15" s="13"/>
      <c r="T15" s="12"/>
      <c r="U15" s="12"/>
    </row>
    <row r="16" customFormat="false" ht="15" hidden="false" customHeight="false" outlineLevel="0" collapsed="false">
      <c r="A16" s="12"/>
      <c r="B16" s="13"/>
      <c r="C16" s="12"/>
      <c r="D16" s="12"/>
      <c r="E16" s="12"/>
      <c r="F16" s="12"/>
      <c r="G16" s="12"/>
      <c r="H16" s="12"/>
      <c r="I16" s="12"/>
      <c r="J16" s="14" t="str">
        <f aca="false">IFERROR(INDEX(Lists!$B$4:$B$12,MATCH(I16,Lists!$A$4:$A$12,0)),"")</f>
        <v/>
      </c>
      <c r="K16" s="15" t="str">
        <f aca="false">IFERROR(INDEX(Lists!$I$5:$I$18,MATCH(H16,Lists!$H$5:$H$18,0)),"")</f>
        <v/>
      </c>
      <c r="L16" s="15" t="str">
        <f aca="false">IFERROR(INDEX(Lists!$J$5:$J$18,MATCH(H16,Lists!$H$5:$H$18,0)),"")</f>
        <v/>
      </c>
      <c r="M16" s="15" t="str">
        <f aca="false">IFERROR(((K16+L16)/2)*J16,"")</f>
        <v/>
      </c>
      <c r="N16" s="13"/>
      <c r="O16" s="13"/>
      <c r="P16" s="13"/>
      <c r="Q16" s="16" t="str">
        <f aca="true">IF(P16="","",TODAY()-P16)</f>
        <v/>
      </c>
      <c r="R16" s="12"/>
      <c r="S16" s="13"/>
      <c r="T16" s="12"/>
      <c r="U16" s="12"/>
    </row>
    <row r="17" customFormat="false" ht="15" hidden="false" customHeight="false" outlineLevel="0" collapsed="false">
      <c r="A17" s="12"/>
      <c r="B17" s="13"/>
      <c r="C17" s="12"/>
      <c r="D17" s="12"/>
      <c r="E17" s="12"/>
      <c r="F17" s="12"/>
      <c r="G17" s="12"/>
      <c r="H17" s="12"/>
      <c r="I17" s="12"/>
      <c r="J17" s="14" t="str">
        <f aca="false">IFERROR(INDEX(Lists!$B$4:$B$12,MATCH(I17,Lists!$A$4:$A$12,0)),"")</f>
        <v/>
      </c>
      <c r="K17" s="15" t="str">
        <f aca="false">IFERROR(INDEX(Lists!$I$5:$I$18,MATCH(H17,Lists!$H$5:$H$18,0)),"")</f>
        <v/>
      </c>
      <c r="L17" s="15" t="str">
        <f aca="false">IFERROR(INDEX(Lists!$J$5:$J$18,MATCH(H17,Lists!$H$5:$H$18,0)),"")</f>
        <v/>
      </c>
      <c r="M17" s="15" t="str">
        <f aca="false">IFERROR(((K17+L17)/2)*J17,"")</f>
        <v/>
      </c>
      <c r="N17" s="13"/>
      <c r="O17" s="13"/>
      <c r="P17" s="13"/>
      <c r="Q17" s="16" t="str">
        <f aca="true">IF(P17="","",TODAY()-P17)</f>
        <v/>
      </c>
      <c r="R17" s="12"/>
      <c r="S17" s="13"/>
      <c r="T17" s="12"/>
      <c r="U17" s="12"/>
    </row>
    <row r="18" customFormat="false" ht="15" hidden="false" customHeight="false" outlineLevel="0" collapsed="false">
      <c r="A18" s="12"/>
      <c r="B18" s="13"/>
      <c r="C18" s="12"/>
      <c r="D18" s="12"/>
      <c r="E18" s="12"/>
      <c r="F18" s="12"/>
      <c r="G18" s="12"/>
      <c r="H18" s="12"/>
      <c r="I18" s="12"/>
      <c r="J18" s="14" t="str">
        <f aca="false">IFERROR(INDEX(Lists!$B$4:$B$12,MATCH(I18,Lists!$A$4:$A$12,0)),"")</f>
        <v/>
      </c>
      <c r="K18" s="15" t="str">
        <f aca="false">IFERROR(INDEX(Lists!$I$5:$I$18,MATCH(H18,Lists!$H$5:$H$18,0)),"")</f>
        <v/>
      </c>
      <c r="L18" s="15" t="str">
        <f aca="false">IFERROR(INDEX(Lists!$J$5:$J$18,MATCH(H18,Lists!$H$5:$H$18,0)),"")</f>
        <v/>
      </c>
      <c r="M18" s="15" t="str">
        <f aca="false">IFERROR(((K18+L18)/2)*J18,"")</f>
        <v/>
      </c>
      <c r="N18" s="13"/>
      <c r="O18" s="13"/>
      <c r="P18" s="13"/>
      <c r="Q18" s="16" t="str">
        <f aca="true">IF(P18="","",TODAY()-P18)</f>
        <v/>
      </c>
      <c r="R18" s="12"/>
      <c r="S18" s="13"/>
      <c r="T18" s="12"/>
      <c r="U18" s="12"/>
    </row>
    <row r="19" customFormat="false" ht="15" hidden="false" customHeight="false" outlineLevel="0" collapsed="false">
      <c r="A19" s="12"/>
      <c r="B19" s="13"/>
      <c r="C19" s="12"/>
      <c r="D19" s="12"/>
      <c r="E19" s="12"/>
      <c r="F19" s="12"/>
      <c r="G19" s="12"/>
      <c r="H19" s="12"/>
      <c r="I19" s="12"/>
      <c r="J19" s="14" t="str">
        <f aca="false">IFERROR(INDEX(Lists!$B$4:$B$12,MATCH(I19,Lists!$A$4:$A$12,0)),"")</f>
        <v/>
      </c>
      <c r="K19" s="15" t="str">
        <f aca="false">IFERROR(INDEX(Lists!$I$5:$I$18,MATCH(H19,Lists!$H$5:$H$18,0)),"")</f>
        <v/>
      </c>
      <c r="L19" s="15" t="str">
        <f aca="false">IFERROR(INDEX(Lists!$J$5:$J$18,MATCH(H19,Lists!$H$5:$H$18,0)),"")</f>
        <v/>
      </c>
      <c r="M19" s="15" t="str">
        <f aca="false">IFERROR(((K19+L19)/2)*J19,"")</f>
        <v/>
      </c>
      <c r="N19" s="13"/>
      <c r="O19" s="13"/>
      <c r="P19" s="13"/>
      <c r="Q19" s="16" t="str">
        <f aca="true">IF(P19="","",TODAY()-P19)</f>
        <v/>
      </c>
      <c r="R19" s="12"/>
      <c r="S19" s="13"/>
      <c r="T19" s="12"/>
      <c r="U19" s="12"/>
    </row>
    <row r="20" customFormat="false" ht="15" hidden="false" customHeight="false" outlineLevel="0" collapsed="false">
      <c r="A20" s="12"/>
      <c r="B20" s="13"/>
      <c r="C20" s="12"/>
      <c r="D20" s="12"/>
      <c r="E20" s="12"/>
      <c r="F20" s="12"/>
      <c r="G20" s="12"/>
      <c r="H20" s="12"/>
      <c r="I20" s="12"/>
      <c r="J20" s="14" t="str">
        <f aca="false">IFERROR(INDEX(Lists!$B$4:$B$12,MATCH(I20,Lists!$A$4:$A$12,0)),"")</f>
        <v/>
      </c>
      <c r="K20" s="15" t="str">
        <f aca="false">IFERROR(INDEX(Lists!$I$5:$I$18,MATCH(H20,Lists!$H$5:$H$18,0)),"")</f>
        <v/>
      </c>
      <c r="L20" s="15" t="str">
        <f aca="false">IFERROR(INDEX(Lists!$J$5:$J$18,MATCH(H20,Lists!$H$5:$H$18,0)),"")</f>
        <v/>
      </c>
      <c r="M20" s="15" t="str">
        <f aca="false">IFERROR(((K20+L20)/2)*J20,"")</f>
        <v/>
      </c>
      <c r="N20" s="13"/>
      <c r="O20" s="13"/>
      <c r="P20" s="13"/>
      <c r="Q20" s="16" t="str">
        <f aca="true">IF(P20="","",TODAY()-P20)</f>
        <v/>
      </c>
      <c r="R20" s="12"/>
      <c r="S20" s="13"/>
      <c r="T20" s="12"/>
      <c r="U20" s="12"/>
    </row>
    <row r="21" customFormat="false" ht="15" hidden="false" customHeight="false" outlineLevel="0" collapsed="false">
      <c r="A21" s="12"/>
      <c r="B21" s="13"/>
      <c r="C21" s="12"/>
      <c r="D21" s="12"/>
      <c r="E21" s="12"/>
      <c r="F21" s="12"/>
      <c r="G21" s="12"/>
      <c r="H21" s="12"/>
      <c r="I21" s="12"/>
      <c r="J21" s="14" t="str">
        <f aca="false">IFERROR(INDEX(Lists!$B$4:$B$12,MATCH(I21,Lists!$A$4:$A$12,0)),"")</f>
        <v/>
      </c>
      <c r="K21" s="15" t="str">
        <f aca="false">IFERROR(INDEX(Lists!$I$5:$I$18,MATCH(H21,Lists!$H$5:$H$18,0)),"")</f>
        <v/>
      </c>
      <c r="L21" s="15" t="str">
        <f aca="false">IFERROR(INDEX(Lists!$J$5:$J$18,MATCH(H21,Lists!$H$5:$H$18,0)),"")</f>
        <v/>
      </c>
      <c r="M21" s="15" t="str">
        <f aca="false">IFERROR(((K21+L21)/2)*J21,"")</f>
        <v/>
      </c>
      <c r="N21" s="13"/>
      <c r="O21" s="13"/>
      <c r="P21" s="13"/>
      <c r="Q21" s="16" t="str">
        <f aca="true">IF(P21="","",TODAY()-P21)</f>
        <v/>
      </c>
      <c r="R21" s="12"/>
      <c r="S21" s="13"/>
      <c r="T21" s="12"/>
      <c r="U21" s="12"/>
    </row>
    <row r="22" customFormat="false" ht="15" hidden="false" customHeight="false" outlineLevel="0" collapsed="false">
      <c r="A22" s="12"/>
      <c r="B22" s="13"/>
      <c r="C22" s="12"/>
      <c r="D22" s="12"/>
      <c r="E22" s="12"/>
      <c r="F22" s="12"/>
      <c r="G22" s="12"/>
      <c r="H22" s="12"/>
      <c r="I22" s="12"/>
      <c r="J22" s="14" t="str">
        <f aca="false">IFERROR(INDEX(Lists!$B$4:$B$12,MATCH(I22,Lists!$A$4:$A$12,0)),"")</f>
        <v/>
      </c>
      <c r="K22" s="15" t="str">
        <f aca="false">IFERROR(INDEX(Lists!$I$5:$I$18,MATCH(H22,Lists!$H$5:$H$18,0)),"")</f>
        <v/>
      </c>
      <c r="L22" s="15" t="str">
        <f aca="false">IFERROR(INDEX(Lists!$J$5:$J$18,MATCH(H22,Lists!$H$5:$H$18,0)),"")</f>
        <v/>
      </c>
      <c r="M22" s="15" t="str">
        <f aca="false">IFERROR(((K22+L22)/2)*J22,"")</f>
        <v/>
      </c>
      <c r="N22" s="13"/>
      <c r="O22" s="13"/>
      <c r="P22" s="13"/>
      <c r="Q22" s="16" t="str">
        <f aca="true">IF(P22="","",TODAY()-P22)</f>
        <v/>
      </c>
      <c r="R22" s="12"/>
      <c r="S22" s="13"/>
      <c r="T22" s="12"/>
      <c r="U22" s="12"/>
    </row>
    <row r="23" customFormat="false" ht="15" hidden="false" customHeight="false" outlineLevel="0" collapsed="false">
      <c r="A23" s="12"/>
      <c r="B23" s="13"/>
      <c r="C23" s="12"/>
      <c r="D23" s="12"/>
      <c r="E23" s="12"/>
      <c r="F23" s="12"/>
      <c r="G23" s="12"/>
      <c r="H23" s="12"/>
      <c r="I23" s="12"/>
      <c r="J23" s="14" t="str">
        <f aca="false">IFERROR(INDEX(Lists!$B$4:$B$12,MATCH(I23,Lists!$A$4:$A$12,0)),"")</f>
        <v/>
      </c>
      <c r="K23" s="15" t="str">
        <f aca="false">IFERROR(INDEX(Lists!$I$5:$I$18,MATCH(H23,Lists!$H$5:$H$18,0)),"")</f>
        <v/>
      </c>
      <c r="L23" s="15" t="str">
        <f aca="false">IFERROR(INDEX(Lists!$J$5:$J$18,MATCH(H23,Lists!$H$5:$H$18,0)),"")</f>
        <v/>
      </c>
      <c r="M23" s="15" t="str">
        <f aca="false">IFERROR(((K23+L23)/2)*J23,"")</f>
        <v/>
      </c>
      <c r="N23" s="13"/>
      <c r="O23" s="13"/>
      <c r="P23" s="13"/>
      <c r="Q23" s="16" t="str">
        <f aca="true">IF(P23="","",TODAY()-P23)</f>
        <v/>
      </c>
      <c r="R23" s="12"/>
      <c r="S23" s="13"/>
      <c r="T23" s="12"/>
      <c r="U23" s="12"/>
    </row>
    <row r="24" customFormat="false" ht="15" hidden="false" customHeight="false" outlineLevel="0" collapsed="false">
      <c r="A24" s="12"/>
      <c r="B24" s="13"/>
      <c r="C24" s="12"/>
      <c r="D24" s="12"/>
      <c r="E24" s="12"/>
      <c r="F24" s="12"/>
      <c r="G24" s="12"/>
      <c r="H24" s="12"/>
      <c r="I24" s="12"/>
      <c r="J24" s="14" t="str">
        <f aca="false">IFERROR(INDEX(Lists!$B$4:$B$12,MATCH(I24,Lists!$A$4:$A$12,0)),"")</f>
        <v/>
      </c>
      <c r="K24" s="15" t="str">
        <f aca="false">IFERROR(INDEX(Lists!$I$5:$I$18,MATCH(H24,Lists!$H$5:$H$18,0)),"")</f>
        <v/>
      </c>
      <c r="L24" s="15" t="str">
        <f aca="false">IFERROR(INDEX(Lists!$J$5:$J$18,MATCH(H24,Lists!$H$5:$H$18,0)),"")</f>
        <v/>
      </c>
      <c r="M24" s="15" t="str">
        <f aca="false">IFERROR(((K24+L24)/2)*J24,"")</f>
        <v/>
      </c>
      <c r="N24" s="13"/>
      <c r="O24" s="13"/>
      <c r="P24" s="13"/>
      <c r="Q24" s="16" t="str">
        <f aca="true">IF(P24="","",TODAY()-P24)</f>
        <v/>
      </c>
      <c r="R24" s="12"/>
      <c r="S24" s="13"/>
      <c r="T24" s="12"/>
      <c r="U24" s="12"/>
    </row>
    <row r="25" customFormat="false" ht="15" hidden="false" customHeight="false" outlineLevel="0" collapsed="false">
      <c r="A25" s="12"/>
      <c r="B25" s="13"/>
      <c r="C25" s="12"/>
      <c r="D25" s="12"/>
      <c r="E25" s="12"/>
      <c r="F25" s="12"/>
      <c r="G25" s="12"/>
      <c r="H25" s="12"/>
      <c r="I25" s="12"/>
      <c r="J25" s="14" t="str">
        <f aca="false">IFERROR(INDEX(Lists!$B$4:$B$12,MATCH(I25,Lists!$A$4:$A$12,0)),"")</f>
        <v/>
      </c>
      <c r="K25" s="15" t="str">
        <f aca="false">IFERROR(INDEX(Lists!$I$5:$I$18,MATCH(H25,Lists!$H$5:$H$18,0)),"")</f>
        <v/>
      </c>
      <c r="L25" s="15" t="str">
        <f aca="false">IFERROR(INDEX(Lists!$J$5:$J$18,MATCH(H25,Lists!$H$5:$H$18,0)),"")</f>
        <v/>
      </c>
      <c r="M25" s="15" t="str">
        <f aca="false">IFERROR(((K25+L25)/2)*J25,"")</f>
        <v/>
      </c>
      <c r="N25" s="13"/>
      <c r="O25" s="13"/>
      <c r="P25" s="13"/>
      <c r="Q25" s="16" t="str">
        <f aca="true">IF(P25="","",TODAY()-P25)</f>
        <v/>
      </c>
      <c r="R25" s="12"/>
      <c r="S25" s="13"/>
      <c r="T25" s="12"/>
      <c r="U25" s="12"/>
    </row>
    <row r="26" customFormat="false" ht="15" hidden="false" customHeight="false" outlineLevel="0" collapsed="false">
      <c r="A26" s="12"/>
      <c r="B26" s="13"/>
      <c r="C26" s="12"/>
      <c r="D26" s="12"/>
      <c r="E26" s="12"/>
      <c r="F26" s="12"/>
      <c r="G26" s="12"/>
      <c r="H26" s="12"/>
      <c r="I26" s="12"/>
      <c r="J26" s="14" t="str">
        <f aca="false">IFERROR(INDEX(Lists!$B$4:$B$12,MATCH(I26,Lists!$A$4:$A$12,0)),"")</f>
        <v/>
      </c>
      <c r="K26" s="15" t="str">
        <f aca="false">IFERROR(INDEX(Lists!$I$5:$I$18,MATCH(H26,Lists!$H$5:$H$18,0)),"")</f>
        <v/>
      </c>
      <c r="L26" s="15" t="str">
        <f aca="false">IFERROR(INDEX(Lists!$J$5:$J$18,MATCH(H26,Lists!$H$5:$H$18,0)),"")</f>
        <v/>
      </c>
      <c r="M26" s="15" t="str">
        <f aca="false">IFERROR(((K26+L26)/2)*J26,"")</f>
        <v/>
      </c>
      <c r="N26" s="13"/>
      <c r="O26" s="13"/>
      <c r="P26" s="13"/>
      <c r="Q26" s="16" t="str">
        <f aca="true">IF(P26="","",TODAY()-P26)</f>
        <v/>
      </c>
      <c r="R26" s="12"/>
      <c r="S26" s="13"/>
      <c r="T26" s="12"/>
      <c r="U26" s="12"/>
    </row>
    <row r="27" customFormat="false" ht="15" hidden="false" customHeight="false" outlineLevel="0" collapsed="false">
      <c r="A27" s="12"/>
      <c r="B27" s="13"/>
      <c r="C27" s="12"/>
      <c r="D27" s="12"/>
      <c r="E27" s="12"/>
      <c r="F27" s="12"/>
      <c r="G27" s="12"/>
      <c r="H27" s="12"/>
      <c r="I27" s="12"/>
      <c r="J27" s="14" t="str">
        <f aca="false">IFERROR(INDEX(Lists!$B$4:$B$12,MATCH(I27,Lists!$A$4:$A$12,0)),"")</f>
        <v/>
      </c>
      <c r="K27" s="15" t="str">
        <f aca="false">IFERROR(INDEX(Lists!$I$5:$I$18,MATCH(H27,Lists!$H$5:$H$18,0)),"")</f>
        <v/>
      </c>
      <c r="L27" s="15" t="str">
        <f aca="false">IFERROR(INDEX(Lists!$J$5:$J$18,MATCH(H27,Lists!$H$5:$H$18,0)),"")</f>
        <v/>
      </c>
      <c r="M27" s="15" t="str">
        <f aca="false">IFERROR(((K27+L27)/2)*J27,"")</f>
        <v/>
      </c>
      <c r="N27" s="13"/>
      <c r="O27" s="13"/>
      <c r="P27" s="13"/>
      <c r="Q27" s="16" t="str">
        <f aca="true">IF(P27="","",TODAY()-P27)</f>
        <v/>
      </c>
      <c r="R27" s="12"/>
      <c r="S27" s="13"/>
      <c r="T27" s="12"/>
      <c r="U27" s="12"/>
    </row>
    <row r="28" customFormat="false" ht="15" hidden="false" customHeight="false" outlineLevel="0" collapsed="false">
      <c r="A28" s="12"/>
      <c r="B28" s="13"/>
      <c r="C28" s="12"/>
      <c r="D28" s="12"/>
      <c r="E28" s="12"/>
      <c r="F28" s="12"/>
      <c r="G28" s="12"/>
      <c r="H28" s="12"/>
      <c r="I28" s="12"/>
      <c r="J28" s="14" t="str">
        <f aca="false">IFERROR(INDEX(Lists!$B$4:$B$12,MATCH(I28,Lists!$A$4:$A$12,0)),"")</f>
        <v/>
      </c>
      <c r="K28" s="15" t="str">
        <f aca="false">IFERROR(INDEX(Lists!$I$5:$I$18,MATCH(H28,Lists!$H$5:$H$18,0)),"")</f>
        <v/>
      </c>
      <c r="L28" s="15" t="str">
        <f aca="false">IFERROR(INDEX(Lists!$J$5:$J$18,MATCH(H28,Lists!$H$5:$H$18,0)),"")</f>
        <v/>
      </c>
      <c r="M28" s="15" t="str">
        <f aca="false">IFERROR(((K28+L28)/2)*J28,"")</f>
        <v/>
      </c>
      <c r="N28" s="13"/>
      <c r="O28" s="13"/>
      <c r="P28" s="13"/>
      <c r="Q28" s="16" t="str">
        <f aca="true">IF(P28="","",TODAY()-P28)</f>
        <v/>
      </c>
      <c r="R28" s="12"/>
      <c r="S28" s="13"/>
      <c r="T28" s="12"/>
      <c r="U28" s="12"/>
    </row>
    <row r="29" customFormat="false" ht="15" hidden="false" customHeight="false" outlineLevel="0" collapsed="false">
      <c r="A29" s="12"/>
      <c r="B29" s="13"/>
      <c r="C29" s="12"/>
      <c r="D29" s="12"/>
      <c r="E29" s="12"/>
      <c r="F29" s="12"/>
      <c r="G29" s="12"/>
      <c r="H29" s="12"/>
      <c r="I29" s="12"/>
      <c r="J29" s="14" t="str">
        <f aca="false">IFERROR(INDEX(Lists!$B$4:$B$12,MATCH(I29,Lists!$A$4:$A$12,0)),"")</f>
        <v/>
      </c>
      <c r="K29" s="15" t="str">
        <f aca="false">IFERROR(INDEX(Lists!$I$5:$I$18,MATCH(H29,Lists!$H$5:$H$18,0)),"")</f>
        <v/>
      </c>
      <c r="L29" s="15" t="str">
        <f aca="false">IFERROR(INDEX(Lists!$J$5:$J$18,MATCH(H29,Lists!$H$5:$H$18,0)),"")</f>
        <v/>
      </c>
      <c r="M29" s="15" t="str">
        <f aca="false">IFERROR(((K29+L29)/2)*J29,"")</f>
        <v/>
      </c>
      <c r="N29" s="13"/>
      <c r="O29" s="13"/>
      <c r="P29" s="13"/>
      <c r="Q29" s="16" t="str">
        <f aca="true">IF(P29="","",TODAY()-P29)</f>
        <v/>
      </c>
      <c r="R29" s="12"/>
      <c r="S29" s="13"/>
      <c r="T29" s="12"/>
      <c r="U29" s="12"/>
    </row>
    <row r="30" customFormat="false" ht="15" hidden="false" customHeight="false" outlineLevel="0" collapsed="false">
      <c r="A30" s="12"/>
      <c r="B30" s="13"/>
      <c r="C30" s="12"/>
      <c r="D30" s="12"/>
      <c r="E30" s="12"/>
      <c r="F30" s="12"/>
      <c r="G30" s="12"/>
      <c r="H30" s="12"/>
      <c r="I30" s="12"/>
      <c r="J30" s="14" t="str">
        <f aca="false">IFERROR(INDEX(Lists!$B$4:$B$12,MATCH(I30,Lists!$A$4:$A$12,0)),"")</f>
        <v/>
      </c>
      <c r="K30" s="15" t="str">
        <f aca="false">IFERROR(INDEX(Lists!$I$5:$I$18,MATCH(H30,Lists!$H$5:$H$18,0)),"")</f>
        <v/>
      </c>
      <c r="L30" s="15" t="str">
        <f aca="false">IFERROR(INDEX(Lists!$J$5:$J$18,MATCH(H30,Lists!$H$5:$H$18,0)),"")</f>
        <v/>
      </c>
      <c r="M30" s="15" t="str">
        <f aca="false">IFERROR(((K30+L30)/2)*J30,"")</f>
        <v/>
      </c>
      <c r="N30" s="13"/>
      <c r="O30" s="13"/>
      <c r="P30" s="13"/>
      <c r="Q30" s="16" t="str">
        <f aca="true">IF(P30="","",TODAY()-P30)</f>
        <v/>
      </c>
      <c r="R30" s="12"/>
      <c r="S30" s="13"/>
      <c r="T30" s="12"/>
      <c r="U30" s="12"/>
    </row>
    <row r="31" customFormat="false" ht="15" hidden="false" customHeight="false" outlineLevel="0" collapsed="false">
      <c r="A31" s="12"/>
      <c r="B31" s="13"/>
      <c r="C31" s="12"/>
      <c r="D31" s="12"/>
      <c r="E31" s="12"/>
      <c r="F31" s="12"/>
      <c r="G31" s="12"/>
      <c r="H31" s="12"/>
      <c r="I31" s="12"/>
      <c r="J31" s="14" t="str">
        <f aca="false">IFERROR(INDEX(Lists!$B$4:$B$12,MATCH(I31,Lists!$A$4:$A$12,0)),"")</f>
        <v/>
      </c>
      <c r="K31" s="15" t="str">
        <f aca="false">IFERROR(INDEX(Lists!$I$5:$I$18,MATCH(H31,Lists!$H$5:$H$18,0)),"")</f>
        <v/>
      </c>
      <c r="L31" s="15" t="str">
        <f aca="false">IFERROR(INDEX(Lists!$J$5:$J$18,MATCH(H31,Lists!$H$5:$H$18,0)),"")</f>
        <v/>
      </c>
      <c r="M31" s="15" t="str">
        <f aca="false">IFERROR(((K31+L31)/2)*J31,"")</f>
        <v/>
      </c>
      <c r="N31" s="13"/>
      <c r="O31" s="13"/>
      <c r="P31" s="13"/>
      <c r="Q31" s="16" t="str">
        <f aca="true">IF(P31="","",TODAY()-P31)</f>
        <v/>
      </c>
      <c r="R31" s="12"/>
      <c r="S31" s="13"/>
      <c r="T31" s="12"/>
      <c r="U31" s="12"/>
    </row>
    <row r="32" customFormat="false" ht="15" hidden="false" customHeight="false" outlineLevel="0" collapsed="false">
      <c r="A32" s="12"/>
      <c r="B32" s="13"/>
      <c r="C32" s="12"/>
      <c r="D32" s="12"/>
      <c r="E32" s="12"/>
      <c r="F32" s="12"/>
      <c r="G32" s="12"/>
      <c r="H32" s="12"/>
      <c r="I32" s="12"/>
      <c r="J32" s="14" t="str">
        <f aca="false">IFERROR(INDEX(Lists!$B$4:$B$12,MATCH(I32,Lists!$A$4:$A$12,0)),"")</f>
        <v/>
      </c>
      <c r="K32" s="15" t="str">
        <f aca="false">IFERROR(INDEX(Lists!$I$5:$I$18,MATCH(H32,Lists!$H$5:$H$18,0)),"")</f>
        <v/>
      </c>
      <c r="L32" s="15" t="str">
        <f aca="false">IFERROR(INDEX(Lists!$J$5:$J$18,MATCH(H32,Lists!$H$5:$H$18,0)),"")</f>
        <v/>
      </c>
      <c r="M32" s="15" t="str">
        <f aca="false">IFERROR(((K32+L32)/2)*J32,"")</f>
        <v/>
      </c>
      <c r="N32" s="13"/>
      <c r="O32" s="13"/>
      <c r="P32" s="13"/>
      <c r="Q32" s="16" t="str">
        <f aca="true">IF(P32="","",TODAY()-P32)</f>
        <v/>
      </c>
      <c r="R32" s="12"/>
      <c r="S32" s="13"/>
      <c r="T32" s="12"/>
      <c r="U32" s="12"/>
    </row>
    <row r="33" customFormat="false" ht="15" hidden="false" customHeight="false" outlineLevel="0" collapsed="false">
      <c r="A33" s="12"/>
      <c r="B33" s="13"/>
      <c r="C33" s="12"/>
      <c r="D33" s="12"/>
      <c r="E33" s="12"/>
      <c r="F33" s="12"/>
      <c r="G33" s="12"/>
      <c r="H33" s="12"/>
      <c r="I33" s="12"/>
      <c r="J33" s="14" t="str">
        <f aca="false">IFERROR(INDEX(Lists!$B$4:$B$12,MATCH(I33,Lists!$A$4:$A$12,0)),"")</f>
        <v/>
      </c>
      <c r="K33" s="15" t="str">
        <f aca="false">IFERROR(INDEX(Lists!$I$5:$I$18,MATCH(H33,Lists!$H$5:$H$18,0)),"")</f>
        <v/>
      </c>
      <c r="L33" s="15" t="str">
        <f aca="false">IFERROR(INDEX(Lists!$J$5:$J$18,MATCH(H33,Lists!$H$5:$H$18,0)),"")</f>
        <v/>
      </c>
      <c r="M33" s="15" t="str">
        <f aca="false">IFERROR(((K33+L33)/2)*J33,"")</f>
        <v/>
      </c>
      <c r="N33" s="13"/>
      <c r="O33" s="13"/>
      <c r="P33" s="13"/>
      <c r="Q33" s="16" t="str">
        <f aca="true">IF(P33="","",TODAY()-P33)</f>
        <v/>
      </c>
      <c r="R33" s="12"/>
      <c r="S33" s="13"/>
      <c r="T33" s="12"/>
      <c r="U33" s="12"/>
    </row>
    <row r="34" customFormat="false" ht="15" hidden="false" customHeight="false" outlineLevel="0" collapsed="false">
      <c r="A34" s="12"/>
      <c r="B34" s="13"/>
      <c r="C34" s="12"/>
      <c r="D34" s="12"/>
      <c r="E34" s="12"/>
      <c r="F34" s="12"/>
      <c r="G34" s="12"/>
      <c r="H34" s="12"/>
      <c r="I34" s="12"/>
      <c r="J34" s="14" t="str">
        <f aca="false">IFERROR(INDEX(Lists!$B$4:$B$12,MATCH(I34,Lists!$A$4:$A$12,0)),"")</f>
        <v/>
      </c>
      <c r="K34" s="15" t="str">
        <f aca="false">IFERROR(INDEX(Lists!$I$5:$I$18,MATCH(H34,Lists!$H$5:$H$18,0)),"")</f>
        <v/>
      </c>
      <c r="L34" s="15" t="str">
        <f aca="false">IFERROR(INDEX(Lists!$J$5:$J$18,MATCH(H34,Lists!$H$5:$H$18,0)),"")</f>
        <v/>
      </c>
      <c r="M34" s="15" t="str">
        <f aca="false">IFERROR(((K34+L34)/2)*J34,"")</f>
        <v/>
      </c>
      <c r="N34" s="13"/>
      <c r="O34" s="13"/>
      <c r="P34" s="13"/>
      <c r="Q34" s="16" t="str">
        <f aca="true">IF(P34="","",TODAY()-P34)</f>
        <v/>
      </c>
      <c r="R34" s="12"/>
      <c r="S34" s="13"/>
      <c r="T34" s="12"/>
      <c r="U34" s="12"/>
    </row>
    <row r="35" customFormat="false" ht="15" hidden="false" customHeight="false" outlineLevel="0" collapsed="false">
      <c r="A35" s="12"/>
      <c r="B35" s="13"/>
      <c r="C35" s="12"/>
      <c r="D35" s="12"/>
      <c r="E35" s="12"/>
      <c r="F35" s="12"/>
      <c r="G35" s="12"/>
      <c r="H35" s="12"/>
      <c r="I35" s="12"/>
      <c r="J35" s="14" t="str">
        <f aca="false">IFERROR(INDEX(Lists!$B$4:$B$12,MATCH(I35,Lists!$A$4:$A$12,0)),"")</f>
        <v/>
      </c>
      <c r="K35" s="15" t="str">
        <f aca="false">IFERROR(INDEX(Lists!$I$5:$I$18,MATCH(H35,Lists!$H$5:$H$18,0)),"")</f>
        <v/>
      </c>
      <c r="L35" s="15" t="str">
        <f aca="false">IFERROR(INDEX(Lists!$J$5:$J$18,MATCH(H35,Lists!$H$5:$H$18,0)),"")</f>
        <v/>
      </c>
      <c r="M35" s="15" t="str">
        <f aca="false">IFERROR(((K35+L35)/2)*J35,"")</f>
        <v/>
      </c>
      <c r="N35" s="13"/>
      <c r="O35" s="13"/>
      <c r="P35" s="13"/>
      <c r="Q35" s="16" t="str">
        <f aca="true">IF(P35="","",TODAY()-P35)</f>
        <v/>
      </c>
      <c r="R35" s="12"/>
      <c r="S35" s="13"/>
      <c r="T35" s="12"/>
      <c r="U35" s="12"/>
    </row>
    <row r="36" customFormat="false" ht="15" hidden="false" customHeight="false" outlineLevel="0" collapsed="false">
      <c r="A36" s="12"/>
      <c r="B36" s="13"/>
      <c r="C36" s="12"/>
      <c r="D36" s="12"/>
      <c r="E36" s="12"/>
      <c r="F36" s="12"/>
      <c r="G36" s="12"/>
      <c r="H36" s="12"/>
      <c r="I36" s="12"/>
      <c r="J36" s="14" t="str">
        <f aca="false">IFERROR(INDEX(Lists!$B$4:$B$12,MATCH(I36,Lists!$A$4:$A$12,0)),"")</f>
        <v/>
      </c>
      <c r="K36" s="15" t="str">
        <f aca="false">IFERROR(INDEX(Lists!$I$5:$I$18,MATCH(H36,Lists!$H$5:$H$18,0)),"")</f>
        <v/>
      </c>
      <c r="L36" s="15" t="str">
        <f aca="false">IFERROR(INDEX(Lists!$J$5:$J$18,MATCH(H36,Lists!$H$5:$H$18,0)),"")</f>
        <v/>
      </c>
      <c r="M36" s="15" t="str">
        <f aca="false">IFERROR(((K36+L36)/2)*J36,"")</f>
        <v/>
      </c>
      <c r="N36" s="13"/>
      <c r="O36" s="13"/>
      <c r="P36" s="13"/>
      <c r="Q36" s="16" t="str">
        <f aca="true">IF(P36="","",TODAY()-P36)</f>
        <v/>
      </c>
      <c r="R36" s="12"/>
      <c r="S36" s="13"/>
      <c r="T36" s="12"/>
      <c r="U36" s="12"/>
    </row>
    <row r="37" customFormat="false" ht="15" hidden="false" customHeight="false" outlineLevel="0" collapsed="false">
      <c r="A37" s="12"/>
      <c r="B37" s="13"/>
      <c r="C37" s="12"/>
      <c r="D37" s="12"/>
      <c r="E37" s="12"/>
      <c r="F37" s="12"/>
      <c r="G37" s="12"/>
      <c r="H37" s="12"/>
      <c r="I37" s="12"/>
      <c r="J37" s="14" t="str">
        <f aca="false">IFERROR(INDEX(Lists!$B$4:$B$12,MATCH(I37,Lists!$A$4:$A$12,0)),"")</f>
        <v/>
      </c>
      <c r="K37" s="15" t="str">
        <f aca="false">IFERROR(INDEX(Lists!$I$5:$I$18,MATCH(H37,Lists!$H$5:$H$18,0)),"")</f>
        <v/>
      </c>
      <c r="L37" s="15" t="str">
        <f aca="false">IFERROR(INDEX(Lists!$J$5:$J$18,MATCH(H37,Lists!$H$5:$H$18,0)),"")</f>
        <v/>
      </c>
      <c r="M37" s="15" t="str">
        <f aca="false">IFERROR(((K37+L37)/2)*J37,"")</f>
        <v/>
      </c>
      <c r="N37" s="13"/>
      <c r="O37" s="13"/>
      <c r="P37" s="13"/>
      <c r="Q37" s="16" t="str">
        <f aca="true">IF(P37="","",TODAY()-P37)</f>
        <v/>
      </c>
      <c r="R37" s="12"/>
      <c r="S37" s="13"/>
      <c r="T37" s="12"/>
      <c r="U37" s="12"/>
    </row>
    <row r="38" customFormat="false" ht="15" hidden="false" customHeight="false" outlineLevel="0" collapsed="false">
      <c r="A38" s="12"/>
      <c r="B38" s="13"/>
      <c r="C38" s="12"/>
      <c r="D38" s="12"/>
      <c r="E38" s="12"/>
      <c r="F38" s="12"/>
      <c r="G38" s="12"/>
      <c r="H38" s="12"/>
      <c r="I38" s="12"/>
      <c r="J38" s="14" t="str">
        <f aca="false">IFERROR(INDEX(Lists!$B$4:$B$12,MATCH(I38,Lists!$A$4:$A$12,0)),"")</f>
        <v/>
      </c>
      <c r="K38" s="15" t="str">
        <f aca="false">IFERROR(INDEX(Lists!$I$5:$I$18,MATCH(H38,Lists!$H$5:$H$18,0)),"")</f>
        <v/>
      </c>
      <c r="L38" s="15" t="str">
        <f aca="false">IFERROR(INDEX(Lists!$J$5:$J$18,MATCH(H38,Lists!$H$5:$H$18,0)),"")</f>
        <v/>
      </c>
      <c r="M38" s="15" t="str">
        <f aca="false">IFERROR(((K38+L38)/2)*J38,"")</f>
        <v/>
      </c>
      <c r="N38" s="13"/>
      <c r="O38" s="13"/>
      <c r="P38" s="13"/>
      <c r="Q38" s="16" t="str">
        <f aca="true">IF(P38="","",TODAY()-P38)</f>
        <v/>
      </c>
      <c r="R38" s="12"/>
      <c r="S38" s="13"/>
      <c r="T38" s="12"/>
      <c r="U38" s="12"/>
    </row>
    <row r="39" customFormat="false" ht="15" hidden="false" customHeight="false" outlineLevel="0" collapsed="false">
      <c r="A39" s="12"/>
      <c r="B39" s="13"/>
      <c r="C39" s="12"/>
      <c r="D39" s="12"/>
      <c r="E39" s="12"/>
      <c r="F39" s="12"/>
      <c r="G39" s="12"/>
      <c r="H39" s="12"/>
      <c r="I39" s="12"/>
      <c r="J39" s="14" t="str">
        <f aca="false">IFERROR(INDEX(Lists!$B$4:$B$12,MATCH(I39,Lists!$A$4:$A$12,0)),"")</f>
        <v/>
      </c>
      <c r="K39" s="15" t="str">
        <f aca="false">IFERROR(INDEX(Lists!$I$5:$I$18,MATCH(H39,Lists!$H$5:$H$18,0)),"")</f>
        <v/>
      </c>
      <c r="L39" s="15" t="str">
        <f aca="false">IFERROR(INDEX(Lists!$J$5:$J$18,MATCH(H39,Lists!$H$5:$H$18,0)),"")</f>
        <v/>
      </c>
      <c r="M39" s="15" t="str">
        <f aca="false">IFERROR(((K39+L39)/2)*J39,"")</f>
        <v/>
      </c>
      <c r="N39" s="13"/>
      <c r="O39" s="13"/>
      <c r="P39" s="13"/>
      <c r="Q39" s="16" t="str">
        <f aca="true">IF(P39="","",TODAY()-P39)</f>
        <v/>
      </c>
      <c r="R39" s="12"/>
      <c r="S39" s="13"/>
      <c r="T39" s="12"/>
      <c r="U39" s="12"/>
    </row>
    <row r="40" customFormat="false" ht="15" hidden="false" customHeight="false" outlineLevel="0" collapsed="false">
      <c r="A40" s="12"/>
      <c r="B40" s="13"/>
      <c r="C40" s="12"/>
      <c r="D40" s="12"/>
      <c r="E40" s="12"/>
      <c r="F40" s="12"/>
      <c r="G40" s="12"/>
      <c r="H40" s="12"/>
      <c r="I40" s="12"/>
      <c r="J40" s="14" t="str">
        <f aca="false">IFERROR(INDEX(Lists!$B$4:$B$12,MATCH(I40,Lists!$A$4:$A$12,0)),"")</f>
        <v/>
      </c>
      <c r="K40" s="15" t="str">
        <f aca="false">IFERROR(INDEX(Lists!$I$5:$I$18,MATCH(H40,Lists!$H$5:$H$18,0)),"")</f>
        <v/>
      </c>
      <c r="L40" s="15" t="str">
        <f aca="false">IFERROR(INDEX(Lists!$J$5:$J$18,MATCH(H40,Lists!$H$5:$H$18,0)),"")</f>
        <v/>
      </c>
      <c r="M40" s="15" t="str">
        <f aca="false">IFERROR(((K40+L40)/2)*J40,"")</f>
        <v/>
      </c>
      <c r="N40" s="13"/>
      <c r="O40" s="13"/>
      <c r="P40" s="13"/>
      <c r="Q40" s="16" t="str">
        <f aca="true">IF(P40="","",TODAY()-P40)</f>
        <v/>
      </c>
      <c r="R40" s="12"/>
      <c r="S40" s="13"/>
      <c r="T40" s="12"/>
      <c r="U40" s="12"/>
    </row>
    <row r="41" customFormat="false" ht="15" hidden="false" customHeight="false" outlineLevel="0" collapsed="false">
      <c r="A41" s="12"/>
      <c r="B41" s="13"/>
      <c r="C41" s="12"/>
      <c r="D41" s="12"/>
      <c r="E41" s="12"/>
      <c r="F41" s="12"/>
      <c r="G41" s="12"/>
      <c r="H41" s="12"/>
      <c r="I41" s="12"/>
      <c r="J41" s="14" t="str">
        <f aca="false">IFERROR(INDEX(Lists!$B$4:$B$12,MATCH(I41,Lists!$A$4:$A$12,0)),"")</f>
        <v/>
      </c>
      <c r="K41" s="15" t="str">
        <f aca="false">IFERROR(INDEX(Lists!$I$5:$I$18,MATCH(H41,Lists!$H$5:$H$18,0)),"")</f>
        <v/>
      </c>
      <c r="L41" s="15" t="str">
        <f aca="false">IFERROR(INDEX(Lists!$J$5:$J$18,MATCH(H41,Lists!$H$5:$H$18,0)),"")</f>
        <v/>
      </c>
      <c r="M41" s="15" t="str">
        <f aca="false">IFERROR(((K41+L41)/2)*J41,"")</f>
        <v/>
      </c>
      <c r="N41" s="13"/>
      <c r="O41" s="13"/>
      <c r="P41" s="13"/>
      <c r="Q41" s="16" t="str">
        <f aca="true">IF(P41="","",TODAY()-P41)</f>
        <v/>
      </c>
      <c r="R41" s="12"/>
      <c r="S41" s="13"/>
      <c r="T41" s="12"/>
      <c r="U41" s="12"/>
    </row>
    <row r="42" customFormat="false" ht="15" hidden="false" customHeight="false" outlineLevel="0" collapsed="false">
      <c r="A42" s="12"/>
      <c r="B42" s="13"/>
      <c r="C42" s="12"/>
      <c r="D42" s="12"/>
      <c r="E42" s="12"/>
      <c r="F42" s="12"/>
      <c r="G42" s="12"/>
      <c r="H42" s="12"/>
      <c r="I42" s="12"/>
      <c r="J42" s="14" t="str">
        <f aca="false">IFERROR(INDEX(Lists!$B$4:$B$12,MATCH(I42,Lists!$A$4:$A$12,0)),"")</f>
        <v/>
      </c>
      <c r="K42" s="15" t="str">
        <f aca="false">IFERROR(INDEX(Lists!$I$5:$I$18,MATCH(H42,Lists!$H$5:$H$18,0)),"")</f>
        <v/>
      </c>
      <c r="L42" s="15" t="str">
        <f aca="false">IFERROR(INDEX(Lists!$J$5:$J$18,MATCH(H42,Lists!$H$5:$H$18,0)),"")</f>
        <v/>
      </c>
      <c r="M42" s="15" t="str">
        <f aca="false">IFERROR(((K42+L42)/2)*J42,"")</f>
        <v/>
      </c>
      <c r="N42" s="13"/>
      <c r="O42" s="13"/>
      <c r="P42" s="13"/>
      <c r="Q42" s="16" t="str">
        <f aca="true">IF(P42="","",TODAY()-P42)</f>
        <v/>
      </c>
      <c r="R42" s="12"/>
      <c r="S42" s="13"/>
      <c r="T42" s="12"/>
      <c r="U42" s="12"/>
    </row>
    <row r="43" customFormat="false" ht="15" hidden="false" customHeight="false" outlineLevel="0" collapsed="false">
      <c r="A43" s="12"/>
      <c r="B43" s="13"/>
      <c r="C43" s="12"/>
      <c r="D43" s="12"/>
      <c r="E43" s="12"/>
      <c r="F43" s="12"/>
      <c r="G43" s="12"/>
      <c r="H43" s="12"/>
      <c r="I43" s="12"/>
      <c r="J43" s="14" t="str">
        <f aca="false">IFERROR(INDEX(Lists!$B$4:$B$12,MATCH(I43,Lists!$A$4:$A$12,0)),"")</f>
        <v/>
      </c>
      <c r="K43" s="15" t="str">
        <f aca="false">IFERROR(INDEX(Lists!$I$5:$I$18,MATCH(H43,Lists!$H$5:$H$18,0)),"")</f>
        <v/>
      </c>
      <c r="L43" s="15" t="str">
        <f aca="false">IFERROR(INDEX(Lists!$J$5:$J$18,MATCH(H43,Lists!$H$5:$H$18,0)),"")</f>
        <v/>
      </c>
      <c r="M43" s="15" t="str">
        <f aca="false">IFERROR(((K43+L43)/2)*J43,"")</f>
        <v/>
      </c>
      <c r="N43" s="13"/>
      <c r="O43" s="13"/>
      <c r="P43" s="13"/>
      <c r="Q43" s="16" t="str">
        <f aca="true">IF(P43="","",TODAY()-P43)</f>
        <v/>
      </c>
      <c r="R43" s="12"/>
      <c r="S43" s="13"/>
      <c r="T43" s="12"/>
      <c r="U43" s="12"/>
    </row>
    <row r="44" customFormat="false" ht="15" hidden="false" customHeight="false" outlineLevel="0" collapsed="false">
      <c r="A44" s="12"/>
      <c r="B44" s="13"/>
      <c r="C44" s="12"/>
      <c r="D44" s="12"/>
      <c r="E44" s="12"/>
      <c r="F44" s="12"/>
      <c r="G44" s="12"/>
      <c r="H44" s="12"/>
      <c r="I44" s="12"/>
      <c r="J44" s="14" t="str">
        <f aca="false">IFERROR(INDEX(Lists!$B$4:$B$12,MATCH(I44,Lists!$A$4:$A$12,0)),"")</f>
        <v/>
      </c>
      <c r="K44" s="15" t="str">
        <f aca="false">IFERROR(INDEX(Lists!$I$5:$I$18,MATCH(H44,Lists!$H$5:$H$18,0)),"")</f>
        <v/>
      </c>
      <c r="L44" s="15" t="str">
        <f aca="false">IFERROR(INDEX(Lists!$J$5:$J$18,MATCH(H44,Lists!$H$5:$H$18,0)),"")</f>
        <v/>
      </c>
      <c r="M44" s="15" t="str">
        <f aca="false">IFERROR(((K44+L44)/2)*J44,"")</f>
        <v/>
      </c>
      <c r="N44" s="13"/>
      <c r="O44" s="13"/>
      <c r="P44" s="13"/>
      <c r="Q44" s="16" t="str">
        <f aca="true">IF(P44="","",TODAY()-P44)</f>
        <v/>
      </c>
      <c r="R44" s="12"/>
      <c r="S44" s="13"/>
      <c r="T44" s="12"/>
      <c r="U44" s="12"/>
    </row>
    <row r="45" customFormat="false" ht="15" hidden="false" customHeight="false" outlineLevel="0" collapsed="false">
      <c r="A45" s="12"/>
      <c r="B45" s="13"/>
      <c r="C45" s="12"/>
      <c r="D45" s="12"/>
      <c r="E45" s="12"/>
      <c r="F45" s="12"/>
      <c r="G45" s="12"/>
      <c r="H45" s="12"/>
      <c r="I45" s="12"/>
      <c r="J45" s="14" t="str">
        <f aca="false">IFERROR(INDEX(Lists!$B$4:$B$12,MATCH(I45,Lists!$A$4:$A$12,0)),"")</f>
        <v/>
      </c>
      <c r="K45" s="15" t="str">
        <f aca="false">IFERROR(INDEX(Lists!$I$5:$I$18,MATCH(H45,Lists!$H$5:$H$18,0)),"")</f>
        <v/>
      </c>
      <c r="L45" s="15" t="str">
        <f aca="false">IFERROR(INDEX(Lists!$J$5:$J$18,MATCH(H45,Lists!$H$5:$H$18,0)),"")</f>
        <v/>
      </c>
      <c r="M45" s="15" t="str">
        <f aca="false">IFERROR(((K45+L45)/2)*J45,"")</f>
        <v/>
      </c>
      <c r="N45" s="13"/>
      <c r="O45" s="13"/>
      <c r="P45" s="13"/>
      <c r="Q45" s="16" t="str">
        <f aca="true">IF(P45="","",TODAY()-P45)</f>
        <v/>
      </c>
      <c r="R45" s="12"/>
      <c r="S45" s="13"/>
      <c r="T45" s="12"/>
      <c r="U45" s="12"/>
    </row>
    <row r="46" customFormat="false" ht="15" hidden="false" customHeight="false" outlineLevel="0" collapsed="false">
      <c r="A46" s="12"/>
      <c r="B46" s="13"/>
      <c r="C46" s="12"/>
      <c r="D46" s="12"/>
      <c r="E46" s="12"/>
      <c r="F46" s="12"/>
      <c r="G46" s="12"/>
      <c r="H46" s="12"/>
      <c r="I46" s="12"/>
      <c r="J46" s="14" t="str">
        <f aca="false">IFERROR(INDEX(Lists!$B$4:$B$12,MATCH(I46,Lists!$A$4:$A$12,0)),"")</f>
        <v/>
      </c>
      <c r="K46" s="15" t="str">
        <f aca="false">IFERROR(INDEX(Lists!$I$5:$I$18,MATCH(H46,Lists!$H$5:$H$18,0)),"")</f>
        <v/>
      </c>
      <c r="L46" s="15" t="str">
        <f aca="false">IFERROR(INDEX(Lists!$J$5:$J$18,MATCH(H46,Lists!$H$5:$H$18,0)),"")</f>
        <v/>
      </c>
      <c r="M46" s="15" t="str">
        <f aca="false">IFERROR(((K46+L46)/2)*J46,"")</f>
        <v/>
      </c>
      <c r="N46" s="13"/>
      <c r="O46" s="13"/>
      <c r="P46" s="13"/>
      <c r="Q46" s="16" t="str">
        <f aca="true">IF(P46="","",TODAY()-P46)</f>
        <v/>
      </c>
      <c r="R46" s="12"/>
      <c r="S46" s="13"/>
      <c r="T46" s="12"/>
      <c r="U46" s="12"/>
    </row>
    <row r="47" customFormat="false" ht="15" hidden="false" customHeight="false" outlineLevel="0" collapsed="false">
      <c r="A47" s="12"/>
      <c r="B47" s="13"/>
      <c r="C47" s="12"/>
      <c r="D47" s="12"/>
      <c r="E47" s="12"/>
      <c r="F47" s="12"/>
      <c r="G47" s="12"/>
      <c r="H47" s="12"/>
      <c r="I47" s="12"/>
      <c r="J47" s="14" t="str">
        <f aca="false">IFERROR(INDEX(Lists!$B$4:$B$12,MATCH(I47,Lists!$A$4:$A$12,0)),"")</f>
        <v/>
      </c>
      <c r="K47" s="15" t="str">
        <f aca="false">IFERROR(INDEX(Lists!$I$5:$I$18,MATCH(H47,Lists!$H$5:$H$18,0)),"")</f>
        <v/>
      </c>
      <c r="L47" s="15" t="str">
        <f aca="false">IFERROR(INDEX(Lists!$J$5:$J$18,MATCH(H47,Lists!$H$5:$H$18,0)),"")</f>
        <v/>
      </c>
      <c r="M47" s="15" t="str">
        <f aca="false">IFERROR(((K47+L47)/2)*J47,"")</f>
        <v/>
      </c>
      <c r="N47" s="13"/>
      <c r="O47" s="13"/>
      <c r="P47" s="13"/>
      <c r="Q47" s="16" t="str">
        <f aca="true">IF(P47="","",TODAY()-P47)</f>
        <v/>
      </c>
      <c r="R47" s="12"/>
      <c r="S47" s="13"/>
      <c r="T47" s="12"/>
      <c r="U47" s="12"/>
    </row>
    <row r="48" customFormat="false" ht="15" hidden="false" customHeight="false" outlineLevel="0" collapsed="false">
      <c r="A48" s="12"/>
      <c r="B48" s="13"/>
      <c r="C48" s="12"/>
      <c r="D48" s="12"/>
      <c r="E48" s="12"/>
      <c r="F48" s="12"/>
      <c r="G48" s="12"/>
      <c r="H48" s="12"/>
      <c r="I48" s="12"/>
      <c r="J48" s="14" t="str">
        <f aca="false">IFERROR(INDEX(Lists!$B$4:$B$12,MATCH(I48,Lists!$A$4:$A$12,0)),"")</f>
        <v/>
      </c>
      <c r="K48" s="15" t="str">
        <f aca="false">IFERROR(INDEX(Lists!$I$5:$I$18,MATCH(H48,Lists!$H$5:$H$18,0)),"")</f>
        <v/>
      </c>
      <c r="L48" s="15" t="str">
        <f aca="false">IFERROR(INDEX(Lists!$J$5:$J$18,MATCH(H48,Lists!$H$5:$H$18,0)),"")</f>
        <v/>
      </c>
      <c r="M48" s="15" t="str">
        <f aca="false">IFERROR(((K48+L48)/2)*J48,"")</f>
        <v/>
      </c>
      <c r="N48" s="13"/>
      <c r="O48" s="13"/>
      <c r="P48" s="13"/>
      <c r="Q48" s="16" t="str">
        <f aca="true">IF(P48="","",TODAY()-P48)</f>
        <v/>
      </c>
      <c r="R48" s="12"/>
      <c r="S48" s="13"/>
      <c r="T48" s="12"/>
      <c r="U48" s="12"/>
    </row>
    <row r="49" customFormat="false" ht="15" hidden="false" customHeight="false" outlineLevel="0" collapsed="false">
      <c r="A49" s="12"/>
      <c r="B49" s="13"/>
      <c r="C49" s="12"/>
      <c r="D49" s="12"/>
      <c r="E49" s="12"/>
      <c r="F49" s="12"/>
      <c r="G49" s="12"/>
      <c r="H49" s="12"/>
      <c r="I49" s="12"/>
      <c r="J49" s="14" t="str">
        <f aca="false">IFERROR(INDEX(Lists!$B$4:$B$12,MATCH(I49,Lists!$A$4:$A$12,0)),"")</f>
        <v/>
      </c>
      <c r="K49" s="15" t="str">
        <f aca="false">IFERROR(INDEX(Lists!$I$5:$I$18,MATCH(H49,Lists!$H$5:$H$18,0)),"")</f>
        <v/>
      </c>
      <c r="L49" s="15" t="str">
        <f aca="false">IFERROR(INDEX(Lists!$J$5:$J$18,MATCH(H49,Lists!$H$5:$H$18,0)),"")</f>
        <v/>
      </c>
      <c r="M49" s="15" t="str">
        <f aca="false">IFERROR(((K49+L49)/2)*J49,"")</f>
        <v/>
      </c>
      <c r="N49" s="13"/>
      <c r="O49" s="13"/>
      <c r="P49" s="13"/>
      <c r="Q49" s="16" t="str">
        <f aca="true">IF(P49="","",TODAY()-P49)</f>
        <v/>
      </c>
      <c r="R49" s="12"/>
      <c r="S49" s="13"/>
      <c r="T49" s="12"/>
      <c r="U49" s="12"/>
    </row>
    <row r="50" customFormat="false" ht="15" hidden="false" customHeight="false" outlineLevel="0" collapsed="false">
      <c r="A50" s="12"/>
      <c r="B50" s="13"/>
      <c r="C50" s="12"/>
      <c r="D50" s="12"/>
      <c r="E50" s="12"/>
      <c r="F50" s="12"/>
      <c r="G50" s="12"/>
      <c r="H50" s="12"/>
      <c r="I50" s="12"/>
      <c r="J50" s="14" t="str">
        <f aca="false">IFERROR(INDEX(Lists!$B$4:$B$12,MATCH(I50,Lists!$A$4:$A$12,0)),"")</f>
        <v/>
      </c>
      <c r="K50" s="15" t="str">
        <f aca="false">IFERROR(INDEX(Lists!$I$5:$I$18,MATCH(H50,Lists!$H$5:$H$18,0)),"")</f>
        <v/>
      </c>
      <c r="L50" s="15" t="str">
        <f aca="false">IFERROR(INDEX(Lists!$J$5:$J$18,MATCH(H50,Lists!$H$5:$H$18,0)),"")</f>
        <v/>
      </c>
      <c r="M50" s="15" t="str">
        <f aca="false">IFERROR(((K50+L50)/2)*J50,"")</f>
        <v/>
      </c>
      <c r="N50" s="13"/>
      <c r="O50" s="13"/>
      <c r="P50" s="13"/>
      <c r="Q50" s="16" t="str">
        <f aca="true">IF(P50="","",TODAY()-P50)</f>
        <v/>
      </c>
      <c r="R50" s="12"/>
      <c r="S50" s="13"/>
      <c r="T50" s="12"/>
      <c r="U50" s="12"/>
    </row>
    <row r="51" customFormat="false" ht="15" hidden="false" customHeight="false" outlineLevel="0" collapsed="false">
      <c r="A51" s="12"/>
      <c r="B51" s="13"/>
      <c r="C51" s="12"/>
      <c r="D51" s="12"/>
      <c r="E51" s="12"/>
      <c r="F51" s="12"/>
      <c r="G51" s="12"/>
      <c r="H51" s="12"/>
      <c r="I51" s="12"/>
      <c r="J51" s="14" t="str">
        <f aca="false">IFERROR(INDEX(Lists!$B$4:$B$12,MATCH(I51,Lists!$A$4:$A$12,0)),"")</f>
        <v/>
      </c>
      <c r="K51" s="15" t="str">
        <f aca="false">IFERROR(INDEX(Lists!$I$5:$I$18,MATCH(H51,Lists!$H$5:$H$18,0)),"")</f>
        <v/>
      </c>
      <c r="L51" s="15" t="str">
        <f aca="false">IFERROR(INDEX(Lists!$J$5:$J$18,MATCH(H51,Lists!$H$5:$H$18,0)),"")</f>
        <v/>
      </c>
      <c r="M51" s="15" t="str">
        <f aca="false">IFERROR(((K51+L51)/2)*J51,"")</f>
        <v/>
      </c>
      <c r="N51" s="13"/>
      <c r="O51" s="13"/>
      <c r="P51" s="13"/>
      <c r="Q51" s="16" t="str">
        <f aca="true">IF(P51="","",TODAY()-P51)</f>
        <v/>
      </c>
      <c r="R51" s="12"/>
      <c r="S51" s="13"/>
      <c r="T51" s="12"/>
      <c r="U51" s="12"/>
    </row>
    <row r="52" customFormat="false" ht="15" hidden="false" customHeight="false" outlineLevel="0" collapsed="false">
      <c r="A52" s="12"/>
      <c r="B52" s="13"/>
      <c r="C52" s="12"/>
      <c r="D52" s="12"/>
      <c r="E52" s="12"/>
      <c r="F52" s="12"/>
      <c r="G52" s="12"/>
      <c r="H52" s="12"/>
      <c r="I52" s="12"/>
      <c r="J52" s="14" t="str">
        <f aca="false">IFERROR(INDEX(Lists!$B$4:$B$12,MATCH(I52,Lists!$A$4:$A$12,0)),"")</f>
        <v/>
      </c>
      <c r="K52" s="15" t="str">
        <f aca="false">IFERROR(INDEX(Lists!$I$5:$I$18,MATCH(H52,Lists!$H$5:$H$18,0)),"")</f>
        <v/>
      </c>
      <c r="L52" s="15" t="str">
        <f aca="false">IFERROR(INDEX(Lists!$J$5:$J$18,MATCH(H52,Lists!$H$5:$H$18,0)),"")</f>
        <v/>
      </c>
      <c r="M52" s="15" t="str">
        <f aca="false">IFERROR(((K52+L52)/2)*J52,"")</f>
        <v/>
      </c>
      <c r="N52" s="13"/>
      <c r="O52" s="13"/>
      <c r="P52" s="13"/>
      <c r="Q52" s="16" t="str">
        <f aca="true">IF(P52="","",TODAY()-P52)</f>
        <v/>
      </c>
      <c r="R52" s="12"/>
      <c r="S52" s="13"/>
      <c r="T52" s="12"/>
      <c r="U52" s="12"/>
    </row>
    <row r="53" customFormat="false" ht="15" hidden="false" customHeight="false" outlineLevel="0" collapsed="false">
      <c r="A53" s="12"/>
      <c r="B53" s="13"/>
      <c r="C53" s="12"/>
      <c r="D53" s="12"/>
      <c r="E53" s="12"/>
      <c r="F53" s="12"/>
      <c r="G53" s="12"/>
      <c r="H53" s="12"/>
      <c r="I53" s="12"/>
      <c r="J53" s="14" t="str">
        <f aca="false">IFERROR(INDEX(Lists!$B$4:$B$12,MATCH(I53,Lists!$A$4:$A$12,0)),"")</f>
        <v/>
      </c>
      <c r="K53" s="15" t="str">
        <f aca="false">IFERROR(INDEX(Lists!$I$5:$I$18,MATCH(H53,Lists!$H$5:$H$18,0)),"")</f>
        <v/>
      </c>
      <c r="L53" s="15" t="str">
        <f aca="false">IFERROR(INDEX(Lists!$J$5:$J$18,MATCH(H53,Lists!$H$5:$H$18,0)),"")</f>
        <v/>
      </c>
      <c r="M53" s="15" t="str">
        <f aca="false">IFERROR(((K53+L53)/2)*J53,"")</f>
        <v/>
      </c>
      <c r="N53" s="13"/>
      <c r="O53" s="13"/>
      <c r="P53" s="13"/>
      <c r="Q53" s="16" t="str">
        <f aca="true">IF(P53="","",TODAY()-P53)</f>
        <v/>
      </c>
      <c r="R53" s="12"/>
      <c r="S53" s="13"/>
      <c r="T53" s="12"/>
      <c r="U53" s="12"/>
    </row>
    <row r="54" customFormat="false" ht="15" hidden="false" customHeight="false" outlineLevel="0" collapsed="false">
      <c r="A54" s="12"/>
      <c r="B54" s="13"/>
      <c r="C54" s="12"/>
      <c r="D54" s="12"/>
      <c r="E54" s="12"/>
      <c r="F54" s="12"/>
      <c r="G54" s="12"/>
      <c r="H54" s="12"/>
      <c r="I54" s="12"/>
      <c r="J54" s="14" t="str">
        <f aca="false">IFERROR(INDEX(Lists!$B$4:$B$12,MATCH(I54,Lists!$A$4:$A$12,0)),"")</f>
        <v/>
      </c>
      <c r="K54" s="15" t="str">
        <f aca="false">IFERROR(INDEX(Lists!$I$5:$I$18,MATCH(H54,Lists!$H$5:$H$18,0)),"")</f>
        <v/>
      </c>
      <c r="L54" s="15" t="str">
        <f aca="false">IFERROR(INDEX(Lists!$J$5:$J$18,MATCH(H54,Lists!$H$5:$H$18,0)),"")</f>
        <v/>
      </c>
      <c r="M54" s="15" t="str">
        <f aca="false">IFERROR(((K54+L54)/2)*J54,"")</f>
        <v/>
      </c>
      <c r="N54" s="13"/>
      <c r="O54" s="13"/>
      <c r="P54" s="13"/>
      <c r="Q54" s="16" t="str">
        <f aca="true">IF(P54="","",TODAY()-P54)</f>
        <v/>
      </c>
      <c r="R54" s="12"/>
      <c r="S54" s="13"/>
      <c r="T54" s="12"/>
      <c r="U54" s="12"/>
    </row>
    <row r="55" customFormat="false" ht="15" hidden="false" customHeight="false" outlineLevel="0" collapsed="false">
      <c r="A55" s="12"/>
      <c r="B55" s="13"/>
      <c r="C55" s="12"/>
      <c r="D55" s="12"/>
      <c r="E55" s="12"/>
      <c r="F55" s="12"/>
      <c r="G55" s="12"/>
      <c r="H55" s="12"/>
      <c r="I55" s="12"/>
      <c r="J55" s="14" t="str">
        <f aca="false">IFERROR(INDEX(Lists!$B$4:$B$12,MATCH(I55,Lists!$A$4:$A$12,0)),"")</f>
        <v/>
      </c>
      <c r="K55" s="15" t="str">
        <f aca="false">IFERROR(INDEX(Lists!$I$5:$I$18,MATCH(H55,Lists!$H$5:$H$18,0)),"")</f>
        <v/>
      </c>
      <c r="L55" s="15" t="str">
        <f aca="false">IFERROR(INDEX(Lists!$J$5:$J$18,MATCH(H55,Lists!$H$5:$H$18,0)),"")</f>
        <v/>
      </c>
      <c r="M55" s="15" t="str">
        <f aca="false">IFERROR(((K55+L55)/2)*J55,"")</f>
        <v/>
      </c>
      <c r="N55" s="13"/>
      <c r="O55" s="13"/>
      <c r="P55" s="13"/>
      <c r="Q55" s="16" t="str">
        <f aca="true">IF(P55="","",TODAY()-P55)</f>
        <v/>
      </c>
      <c r="R55" s="12"/>
      <c r="S55" s="13"/>
      <c r="T55" s="12"/>
      <c r="U55" s="12"/>
    </row>
    <row r="56" customFormat="false" ht="15" hidden="false" customHeight="false" outlineLevel="0" collapsed="false">
      <c r="A56" s="12"/>
      <c r="B56" s="13"/>
      <c r="C56" s="12"/>
      <c r="D56" s="12"/>
      <c r="E56" s="12"/>
      <c r="F56" s="12"/>
      <c r="G56" s="12"/>
      <c r="H56" s="12"/>
      <c r="I56" s="12"/>
      <c r="J56" s="14" t="str">
        <f aca="false">IFERROR(INDEX(Lists!$B$4:$B$12,MATCH(I56,Lists!$A$4:$A$12,0)),"")</f>
        <v/>
      </c>
      <c r="K56" s="15" t="str">
        <f aca="false">IFERROR(INDEX(Lists!$I$5:$I$18,MATCH(H56,Lists!$H$5:$H$18,0)),"")</f>
        <v/>
      </c>
      <c r="L56" s="15" t="str">
        <f aca="false">IFERROR(INDEX(Lists!$J$5:$J$18,MATCH(H56,Lists!$H$5:$H$18,0)),"")</f>
        <v/>
      </c>
      <c r="M56" s="15" t="str">
        <f aca="false">IFERROR(((K56+L56)/2)*J56,"")</f>
        <v/>
      </c>
      <c r="N56" s="13"/>
      <c r="O56" s="13"/>
      <c r="P56" s="13"/>
      <c r="Q56" s="16" t="str">
        <f aca="true">IF(P56="","",TODAY()-P56)</f>
        <v/>
      </c>
      <c r="R56" s="12"/>
      <c r="S56" s="13"/>
      <c r="T56" s="12"/>
      <c r="U56" s="12"/>
    </row>
    <row r="57" customFormat="false" ht="15" hidden="false" customHeight="false" outlineLevel="0" collapsed="false">
      <c r="A57" s="12"/>
      <c r="B57" s="13"/>
      <c r="C57" s="12"/>
      <c r="D57" s="12"/>
      <c r="E57" s="12"/>
      <c r="F57" s="12"/>
      <c r="G57" s="12"/>
      <c r="H57" s="12"/>
      <c r="I57" s="12"/>
      <c r="J57" s="14" t="str">
        <f aca="false">IFERROR(INDEX(Lists!$B$4:$B$12,MATCH(I57,Lists!$A$4:$A$12,0)),"")</f>
        <v/>
      </c>
      <c r="K57" s="15" t="str">
        <f aca="false">IFERROR(INDEX(Lists!$I$5:$I$18,MATCH(H57,Lists!$H$5:$H$18,0)),"")</f>
        <v/>
      </c>
      <c r="L57" s="15" t="str">
        <f aca="false">IFERROR(INDEX(Lists!$J$5:$J$18,MATCH(H57,Lists!$H$5:$H$18,0)),"")</f>
        <v/>
      </c>
      <c r="M57" s="15" t="str">
        <f aca="false">IFERROR(((K57+L57)/2)*J57,"")</f>
        <v/>
      </c>
      <c r="N57" s="13"/>
      <c r="O57" s="13"/>
      <c r="P57" s="13"/>
      <c r="Q57" s="16" t="str">
        <f aca="true">IF(P57="","",TODAY()-P57)</f>
        <v/>
      </c>
      <c r="R57" s="12"/>
      <c r="S57" s="13"/>
      <c r="T57" s="12"/>
      <c r="U57" s="12"/>
    </row>
    <row r="58" customFormat="false" ht="15" hidden="false" customHeight="false" outlineLevel="0" collapsed="false">
      <c r="A58" s="12"/>
      <c r="B58" s="13"/>
      <c r="C58" s="12"/>
      <c r="D58" s="12"/>
      <c r="E58" s="12"/>
      <c r="F58" s="12"/>
      <c r="G58" s="12"/>
      <c r="H58" s="12"/>
      <c r="I58" s="12"/>
      <c r="J58" s="14" t="str">
        <f aca="false">IFERROR(INDEX(Lists!$B$4:$B$12,MATCH(I58,Lists!$A$4:$A$12,0)),"")</f>
        <v/>
      </c>
      <c r="K58" s="15" t="str">
        <f aca="false">IFERROR(INDEX(Lists!$I$5:$I$18,MATCH(H58,Lists!$H$5:$H$18,0)),"")</f>
        <v/>
      </c>
      <c r="L58" s="15" t="str">
        <f aca="false">IFERROR(INDEX(Lists!$J$5:$J$18,MATCH(H58,Lists!$H$5:$H$18,0)),"")</f>
        <v/>
      </c>
      <c r="M58" s="15" t="str">
        <f aca="false">IFERROR(((K58+L58)/2)*J58,"")</f>
        <v/>
      </c>
      <c r="N58" s="13"/>
      <c r="O58" s="13"/>
      <c r="P58" s="13"/>
      <c r="Q58" s="16" t="str">
        <f aca="true">IF(P58="","",TODAY()-P58)</f>
        <v/>
      </c>
      <c r="R58" s="12"/>
      <c r="S58" s="13"/>
      <c r="T58" s="12"/>
      <c r="U58" s="12"/>
    </row>
    <row r="59" customFormat="false" ht="15" hidden="false" customHeight="false" outlineLevel="0" collapsed="false">
      <c r="A59" s="12"/>
      <c r="B59" s="13"/>
      <c r="C59" s="12"/>
      <c r="D59" s="12"/>
      <c r="E59" s="12"/>
      <c r="F59" s="12"/>
      <c r="G59" s="12"/>
      <c r="H59" s="12"/>
      <c r="I59" s="12"/>
      <c r="J59" s="14" t="str">
        <f aca="false">IFERROR(INDEX(Lists!$B$4:$B$12,MATCH(I59,Lists!$A$4:$A$12,0)),"")</f>
        <v/>
      </c>
      <c r="K59" s="15" t="str">
        <f aca="false">IFERROR(INDEX(Lists!$I$5:$I$18,MATCH(H59,Lists!$H$5:$H$18,0)),"")</f>
        <v/>
      </c>
      <c r="L59" s="15" t="str">
        <f aca="false">IFERROR(INDEX(Lists!$J$5:$J$18,MATCH(H59,Lists!$H$5:$H$18,0)),"")</f>
        <v/>
      </c>
      <c r="M59" s="15" t="str">
        <f aca="false">IFERROR(((K59+L59)/2)*J59,"")</f>
        <v/>
      </c>
      <c r="N59" s="13"/>
      <c r="O59" s="13"/>
      <c r="P59" s="13"/>
      <c r="Q59" s="16" t="str">
        <f aca="true">IF(P59="","",TODAY()-P59)</f>
        <v/>
      </c>
      <c r="R59" s="12"/>
      <c r="S59" s="13"/>
      <c r="T59" s="12"/>
      <c r="U59" s="12"/>
    </row>
    <row r="60" customFormat="false" ht="15" hidden="false" customHeight="false" outlineLevel="0" collapsed="false">
      <c r="A60" s="12"/>
      <c r="B60" s="13"/>
      <c r="C60" s="12"/>
      <c r="D60" s="12"/>
      <c r="E60" s="12"/>
      <c r="F60" s="12"/>
      <c r="G60" s="12"/>
      <c r="H60" s="12"/>
      <c r="I60" s="12"/>
      <c r="J60" s="14" t="str">
        <f aca="false">IFERROR(INDEX(Lists!$B$4:$B$12,MATCH(I60,Lists!$A$4:$A$12,0)),"")</f>
        <v/>
      </c>
      <c r="K60" s="15" t="str">
        <f aca="false">IFERROR(INDEX(Lists!$I$5:$I$18,MATCH(H60,Lists!$H$5:$H$18,0)),"")</f>
        <v/>
      </c>
      <c r="L60" s="15" t="str">
        <f aca="false">IFERROR(INDEX(Lists!$J$5:$J$18,MATCH(H60,Lists!$H$5:$H$18,0)),"")</f>
        <v/>
      </c>
      <c r="M60" s="15" t="str">
        <f aca="false">IFERROR(((K60+L60)/2)*J60,"")</f>
        <v/>
      </c>
      <c r="N60" s="13"/>
      <c r="O60" s="13"/>
      <c r="P60" s="13"/>
      <c r="Q60" s="16" t="str">
        <f aca="true">IF(P60="","",TODAY()-P60)</f>
        <v/>
      </c>
      <c r="R60" s="12"/>
      <c r="S60" s="13"/>
      <c r="T60" s="12"/>
      <c r="U60" s="12"/>
    </row>
    <row r="61" customFormat="false" ht="15" hidden="false" customHeight="false" outlineLevel="0" collapsed="false">
      <c r="A61" s="12"/>
      <c r="B61" s="13"/>
      <c r="C61" s="12"/>
      <c r="D61" s="12"/>
      <c r="E61" s="12"/>
      <c r="F61" s="12"/>
      <c r="G61" s="12"/>
      <c r="H61" s="12"/>
      <c r="I61" s="12"/>
      <c r="J61" s="14" t="str">
        <f aca="false">IFERROR(INDEX(Lists!$B$4:$B$12,MATCH(I61,Lists!$A$4:$A$12,0)),"")</f>
        <v/>
      </c>
      <c r="K61" s="15" t="str">
        <f aca="false">IFERROR(INDEX(Lists!$I$5:$I$18,MATCH(H61,Lists!$H$5:$H$18,0)),"")</f>
        <v/>
      </c>
      <c r="L61" s="15" t="str">
        <f aca="false">IFERROR(INDEX(Lists!$J$5:$J$18,MATCH(H61,Lists!$H$5:$H$18,0)),"")</f>
        <v/>
      </c>
      <c r="M61" s="15" t="str">
        <f aca="false">IFERROR(((K61+L61)/2)*J61,"")</f>
        <v/>
      </c>
      <c r="N61" s="13"/>
      <c r="O61" s="13"/>
      <c r="P61" s="13"/>
      <c r="Q61" s="16" t="str">
        <f aca="true">IF(P61="","",TODAY()-P61)</f>
        <v/>
      </c>
      <c r="R61" s="12"/>
      <c r="S61" s="13"/>
      <c r="T61" s="12"/>
      <c r="U61" s="12"/>
    </row>
    <row r="62" customFormat="false" ht="15" hidden="false" customHeight="false" outlineLevel="0" collapsed="false">
      <c r="A62" s="12"/>
      <c r="B62" s="13"/>
      <c r="C62" s="12"/>
      <c r="D62" s="12"/>
      <c r="E62" s="12"/>
      <c r="F62" s="12"/>
      <c r="G62" s="12"/>
      <c r="H62" s="12"/>
      <c r="I62" s="12"/>
      <c r="J62" s="14" t="str">
        <f aca="false">IFERROR(INDEX(Lists!$B$4:$B$12,MATCH(I62,Lists!$A$4:$A$12,0)),"")</f>
        <v/>
      </c>
      <c r="K62" s="15" t="str">
        <f aca="false">IFERROR(INDEX(Lists!$I$5:$I$18,MATCH(H62,Lists!$H$5:$H$18,0)),"")</f>
        <v/>
      </c>
      <c r="L62" s="15" t="str">
        <f aca="false">IFERROR(INDEX(Lists!$J$5:$J$18,MATCH(H62,Lists!$H$5:$H$18,0)),"")</f>
        <v/>
      </c>
      <c r="M62" s="15" t="str">
        <f aca="false">IFERROR(((K62+L62)/2)*J62,"")</f>
        <v/>
      </c>
      <c r="N62" s="13"/>
      <c r="O62" s="13"/>
      <c r="P62" s="13"/>
      <c r="Q62" s="16" t="str">
        <f aca="true">IF(P62="","",TODAY()-P62)</f>
        <v/>
      </c>
      <c r="R62" s="12"/>
      <c r="S62" s="13"/>
      <c r="T62" s="12"/>
      <c r="U62" s="12"/>
    </row>
    <row r="63" customFormat="false" ht="15" hidden="false" customHeight="false" outlineLevel="0" collapsed="false">
      <c r="A63" s="12"/>
      <c r="B63" s="13"/>
      <c r="C63" s="12"/>
      <c r="D63" s="12"/>
      <c r="E63" s="12"/>
      <c r="F63" s="12"/>
      <c r="G63" s="12"/>
      <c r="H63" s="12"/>
      <c r="I63" s="12"/>
      <c r="J63" s="14" t="str">
        <f aca="false">IFERROR(INDEX(Lists!$B$4:$B$12,MATCH(I63,Lists!$A$4:$A$12,0)),"")</f>
        <v/>
      </c>
      <c r="K63" s="15" t="str">
        <f aca="false">IFERROR(INDEX(Lists!$I$5:$I$18,MATCH(H63,Lists!$H$5:$H$18,0)),"")</f>
        <v/>
      </c>
      <c r="L63" s="15" t="str">
        <f aca="false">IFERROR(INDEX(Lists!$J$5:$J$18,MATCH(H63,Lists!$H$5:$H$18,0)),"")</f>
        <v/>
      </c>
      <c r="M63" s="15" t="str">
        <f aca="false">IFERROR(((K63+L63)/2)*J63,"")</f>
        <v/>
      </c>
      <c r="N63" s="13"/>
      <c r="O63" s="13"/>
      <c r="P63" s="13"/>
      <c r="Q63" s="16" t="str">
        <f aca="true">IF(P63="","",TODAY()-P63)</f>
        <v/>
      </c>
      <c r="R63" s="12"/>
      <c r="S63" s="13"/>
      <c r="T63" s="12"/>
      <c r="U63" s="12"/>
    </row>
    <row r="65" customFormat="false" ht="15" hidden="false" customHeight="false" outlineLevel="0" collapsed="false">
      <c r="H65" s="3" t="s">
        <v>123</v>
      </c>
      <c r="K65" s="17" t="n">
        <f aca="false">SUM(K4:K63)</f>
        <v>250</v>
      </c>
      <c r="L65" s="17" t="n">
        <f aca="false">SUM(L4:L63)</f>
        <v>500</v>
      </c>
      <c r="M65" s="17" t="n">
        <f aca="false">SUM(M4:M63)</f>
        <v>131.25</v>
      </c>
    </row>
    <row r="66" customFormat="false" ht="15" hidden="false" customHeight="false" outlineLevel="0" collapsed="false">
      <c r="H66" s="2" t="s">
        <v>124</v>
      </c>
    </row>
  </sheetData>
  <conditionalFormatting sqref="Q4:Q63">
    <cfRule type="cellIs" priority="2" operator="greaterThan" aboveAverage="0" equalAverage="0" bottom="0" percent="0" rank="0" text="" dxfId="0">
      <formula>21</formula>
    </cfRule>
  </conditionalFormatting>
  <conditionalFormatting sqref="S4:S63">
    <cfRule type="cellIs" priority="3" operator="lessThan" aboveAverage="0" equalAverage="0" bottom="0" percent="0" rank="0" text="" dxfId="0">
      <formula>TODAY()</formula>
    </cfRule>
  </conditionalFormatting>
  <dataValidations count="5">
    <dataValidation allowBlank="true" errorStyle="stop" operator="between" showDropDown="false" showErrorMessage="false" showInputMessage="false" sqref="I4:I63" type="list">
      <formula1>Lists!$A$4:$A$12</formula1>
      <formula2>0</formula2>
    </dataValidation>
    <dataValidation allowBlank="true" errorStyle="stop" operator="between" showDropDown="false" showErrorMessage="false" showInputMessage="false" sqref="F4:F63" type="list">
      <formula1>Lists!$C$4:$C$11</formula1>
      <formula2>0</formula2>
    </dataValidation>
    <dataValidation allowBlank="true" errorStyle="stop" operator="between" showDropDown="false" showErrorMessage="false" showInputMessage="false" sqref="H4:H63" type="list">
      <formula1>Lists!$D$4:$D$17</formula1>
      <formula2>0</formula2>
    </dataValidation>
    <dataValidation allowBlank="true" errorStyle="stop" operator="between" showDropDown="false" showErrorMessage="false" showInputMessage="false" sqref="G4:G63" type="list">
      <formula1>Lists!$E$4:$E$13</formula1>
      <formula2>0</formula2>
    </dataValidation>
    <dataValidation allowBlank="true" errorStyle="stop" operator="between" showDropDown="false" showErrorMessage="false" showInputMessage="false" sqref="T4:T63" type="list">
      <formula1>Lists!$F$4:$F$13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32"/>
    <col collapsed="false" customWidth="true" hidden="false" outlineLevel="0" max="7" min="6" style="0" width="10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3" t="s">
        <v>127</v>
      </c>
    </row>
    <row r="5" customFormat="false" ht="33.75" hidden="false" customHeight="true" outlineLevel="0" collapsed="false">
      <c r="A5" s="8" t="s">
        <v>46</v>
      </c>
      <c r="B5" s="8" t="s">
        <v>128</v>
      </c>
      <c r="C5" s="8" t="s">
        <v>106</v>
      </c>
      <c r="D5" s="8" t="s">
        <v>107</v>
      </c>
      <c r="E5" s="8" t="s">
        <v>108</v>
      </c>
    </row>
    <row r="6" customFormat="false" ht="15" hidden="false" customHeight="false" outlineLevel="0" collapsed="false">
      <c r="A6" s="18" t="s">
        <v>25</v>
      </c>
      <c r="B6" s="18" t="n">
        <f aca="false">COUNTIFS(Pipeline!$I$4:$I$63,$A6)</f>
        <v>0</v>
      </c>
      <c r="C6" s="19" t="n">
        <f aca="false">SUMIFS(Pipeline!$K$4:$K$63,Pipeline!$I$4:$I$63,$A6)</f>
        <v>0</v>
      </c>
      <c r="D6" s="19" t="n">
        <f aca="false">SUMIFS(Pipeline!$L$4:$L$63,Pipeline!$I$4:$I$63,$A6)</f>
        <v>0</v>
      </c>
      <c r="E6" s="19" t="n">
        <f aca="false">SUMIFS(Pipeline!$M$4:$M$63,Pipeline!$I$4:$I$63,$A6)</f>
        <v>0</v>
      </c>
    </row>
    <row r="7" customFormat="false" ht="15" hidden="false" customHeight="false" outlineLevel="0" collapsed="false">
      <c r="A7" s="18" t="s">
        <v>27</v>
      </c>
      <c r="B7" s="18" t="n">
        <f aca="false">COUNTIFS(Pipeline!$I$4:$I$63,$A7)</f>
        <v>0</v>
      </c>
      <c r="C7" s="19" t="n">
        <f aca="false">SUMIFS(Pipeline!$K$4:$K$63,Pipeline!$I$4:$I$63,$A7)</f>
        <v>0</v>
      </c>
      <c r="D7" s="19" t="n">
        <f aca="false">SUMIFS(Pipeline!$L$4:$L$63,Pipeline!$I$4:$I$63,$A7)</f>
        <v>0</v>
      </c>
      <c r="E7" s="19" t="n">
        <f aca="false">SUMIFS(Pipeline!$M$4:$M$63,Pipeline!$I$4:$I$63,$A7)</f>
        <v>0</v>
      </c>
    </row>
    <row r="8" customFormat="false" ht="15" hidden="false" customHeight="false" outlineLevel="0" collapsed="false">
      <c r="A8" s="18" t="s">
        <v>29</v>
      </c>
      <c r="B8" s="18" t="n">
        <f aca="false">COUNTIFS(Pipeline!$I$4:$I$63,$A8)</f>
        <v>0</v>
      </c>
      <c r="C8" s="19" t="n">
        <f aca="false">SUMIFS(Pipeline!$K$4:$K$63,Pipeline!$I$4:$I$63,$A8)</f>
        <v>0</v>
      </c>
      <c r="D8" s="19" t="n">
        <f aca="false">SUMIFS(Pipeline!$L$4:$L$63,Pipeline!$I$4:$I$63,$A8)</f>
        <v>0</v>
      </c>
      <c r="E8" s="19" t="n">
        <f aca="false">SUMIFS(Pipeline!$M$4:$M$63,Pipeline!$I$4:$I$63,$A8)</f>
        <v>0</v>
      </c>
    </row>
    <row r="9" customFormat="false" ht="15" hidden="false" customHeight="false" outlineLevel="0" collapsed="false">
      <c r="A9" s="18" t="s">
        <v>31</v>
      </c>
      <c r="B9" s="18" t="n">
        <f aca="false">COUNTIFS(Pipeline!$I$4:$I$63,$A9)</f>
        <v>1</v>
      </c>
      <c r="C9" s="19" t="n">
        <f aca="false">SUMIFS(Pipeline!$K$4:$K$63,Pipeline!$I$4:$I$63,$A9)</f>
        <v>250</v>
      </c>
      <c r="D9" s="19" t="n">
        <f aca="false">SUMIFS(Pipeline!$L$4:$L$63,Pipeline!$I$4:$I$63,$A9)</f>
        <v>500</v>
      </c>
      <c r="E9" s="19" t="n">
        <f aca="false">SUMIFS(Pipeline!$M$4:$M$63,Pipeline!$I$4:$I$63,$A9)</f>
        <v>131.25</v>
      </c>
    </row>
    <row r="10" customFormat="false" ht="15" hidden="false" customHeight="false" outlineLevel="0" collapsed="false">
      <c r="A10" s="18" t="s">
        <v>33</v>
      </c>
      <c r="B10" s="18" t="n">
        <f aca="false">COUNTIFS(Pipeline!$I$4:$I$63,$A10)</f>
        <v>0</v>
      </c>
      <c r="C10" s="19" t="n">
        <f aca="false">SUMIFS(Pipeline!$K$4:$K$63,Pipeline!$I$4:$I$63,$A10)</f>
        <v>0</v>
      </c>
      <c r="D10" s="19" t="n">
        <f aca="false">SUMIFS(Pipeline!$L$4:$L$63,Pipeline!$I$4:$I$63,$A10)</f>
        <v>0</v>
      </c>
      <c r="E10" s="19" t="n">
        <f aca="false">SUMIFS(Pipeline!$M$4:$M$63,Pipeline!$I$4:$I$63,$A10)</f>
        <v>0</v>
      </c>
    </row>
    <row r="11" customFormat="false" ht="15" hidden="false" customHeight="false" outlineLevel="0" collapsed="false">
      <c r="A11" s="18" t="s">
        <v>35</v>
      </c>
      <c r="B11" s="18" t="n">
        <f aca="false">COUNTIFS(Pipeline!$I$4:$I$63,$A11)</f>
        <v>0</v>
      </c>
      <c r="C11" s="19" t="n">
        <f aca="false">SUMIFS(Pipeline!$K$4:$K$63,Pipeline!$I$4:$I$63,$A11)</f>
        <v>0</v>
      </c>
      <c r="D11" s="19" t="n">
        <f aca="false">SUMIFS(Pipeline!$L$4:$L$63,Pipeline!$I$4:$I$63,$A11)</f>
        <v>0</v>
      </c>
      <c r="E11" s="19" t="n">
        <f aca="false">SUMIFS(Pipeline!$M$4:$M$63,Pipeline!$I$4:$I$63,$A11)</f>
        <v>0</v>
      </c>
    </row>
    <row r="12" customFormat="false" ht="15" hidden="false" customHeight="false" outlineLevel="0" collapsed="false">
      <c r="A12" s="18" t="s">
        <v>37</v>
      </c>
      <c r="B12" s="18" t="n">
        <f aca="false">COUNTIFS(Pipeline!$I$4:$I$63,$A12)</f>
        <v>0</v>
      </c>
      <c r="C12" s="19" t="n">
        <f aca="false">SUMIFS(Pipeline!$K$4:$K$63,Pipeline!$I$4:$I$63,$A12)</f>
        <v>0</v>
      </c>
      <c r="D12" s="19" t="n">
        <f aca="false">SUMIFS(Pipeline!$L$4:$L$63,Pipeline!$I$4:$I$63,$A12)</f>
        <v>0</v>
      </c>
      <c r="E12" s="19" t="n">
        <f aca="false">SUMIFS(Pipeline!$M$4:$M$63,Pipeline!$I$4:$I$63,$A12)</f>
        <v>0</v>
      </c>
    </row>
    <row r="13" customFormat="false" ht="15" hidden="false" customHeight="false" outlineLevel="0" collapsed="false">
      <c r="A13" s="18" t="s">
        <v>39</v>
      </c>
      <c r="B13" s="18" t="n">
        <f aca="false">COUNTIFS(Pipeline!$I$4:$I$63,$A13)</f>
        <v>0</v>
      </c>
      <c r="C13" s="19" t="n">
        <f aca="false">SUMIFS(Pipeline!$K$4:$K$63,Pipeline!$I$4:$I$63,$A13)</f>
        <v>0</v>
      </c>
      <c r="D13" s="19" t="n">
        <f aca="false">SUMIFS(Pipeline!$L$4:$L$63,Pipeline!$I$4:$I$63,$A13)</f>
        <v>0</v>
      </c>
      <c r="E13" s="19" t="n">
        <f aca="false">SUMIFS(Pipeline!$M$4:$M$63,Pipeline!$I$4:$I$63,$A13)</f>
        <v>0</v>
      </c>
    </row>
    <row r="14" customFormat="false" ht="15" hidden="false" customHeight="false" outlineLevel="0" collapsed="false">
      <c r="A14" s="18" t="s">
        <v>41</v>
      </c>
      <c r="B14" s="18" t="n">
        <f aca="false">COUNTIFS(Pipeline!$I$4:$I$63,$A14)</f>
        <v>0</v>
      </c>
      <c r="C14" s="19" t="n">
        <f aca="false">SUMIFS(Pipeline!$K$4:$K$63,Pipeline!$I$4:$I$63,$A14)</f>
        <v>0</v>
      </c>
      <c r="D14" s="19" t="n">
        <f aca="false">SUMIFS(Pipeline!$L$4:$L$63,Pipeline!$I$4:$I$63,$A14)</f>
        <v>0</v>
      </c>
      <c r="E14" s="19" t="n">
        <f aca="false">SUMIFS(Pipeline!$M$4:$M$63,Pipeline!$I$4:$I$63,$A14)</f>
        <v>0</v>
      </c>
    </row>
    <row r="15" customFormat="false" ht="15" hidden="false" customHeight="false" outlineLevel="0" collapsed="false">
      <c r="A15" s="3" t="s">
        <v>129</v>
      </c>
      <c r="B15" s="3" t="n">
        <f aca="false">SUM(B6:B14)</f>
        <v>1</v>
      </c>
      <c r="C15" s="17" t="n">
        <f aca="false">SUM(C6:C14)</f>
        <v>250</v>
      </c>
      <c r="D15" s="17" t="n">
        <f aca="false">SUM(D6:D14)</f>
        <v>500</v>
      </c>
      <c r="E15" s="17" t="n">
        <f aca="false">SUM(E6:E14)</f>
        <v>131.25</v>
      </c>
    </row>
    <row r="17" customFormat="false" ht="15" hidden="false" customHeight="false" outlineLevel="0" collapsed="false">
      <c r="A17" s="3" t="s">
        <v>130</v>
      </c>
    </row>
    <row r="18" customFormat="false" ht="33.75" hidden="false" customHeight="true" outlineLevel="0" collapsed="false">
      <c r="A18" s="8" t="s">
        <v>131</v>
      </c>
      <c r="B18" s="8" t="s">
        <v>132</v>
      </c>
      <c r="C18" s="8" t="s">
        <v>133</v>
      </c>
    </row>
    <row r="19" customFormat="false" ht="22.35" hidden="false" customHeight="false" outlineLevel="0" collapsed="false">
      <c r="A19" s="20" t="s">
        <v>134</v>
      </c>
      <c r="B19" s="20" t="n">
        <f aca="false">SUM(B6:B11)</f>
        <v>1</v>
      </c>
      <c r="C19" s="21" t="s">
        <v>135</v>
      </c>
    </row>
    <row r="20" customFormat="false" ht="32.8" hidden="false" customHeight="false" outlineLevel="0" collapsed="false">
      <c r="A20" s="20" t="s">
        <v>136</v>
      </c>
      <c r="B20" s="22" t="n">
        <f aca="false">SUM(E6:E11)</f>
        <v>131.25</v>
      </c>
      <c r="C20" s="21" t="s">
        <v>137</v>
      </c>
    </row>
    <row r="21" customFormat="false" ht="32.8" hidden="false" customHeight="false" outlineLevel="0" collapsed="false">
      <c r="A21" s="20" t="s">
        <v>138</v>
      </c>
      <c r="B21" s="20" t="n">
        <f aca="false">B12</f>
        <v>0</v>
      </c>
      <c r="C21" s="21" t="s">
        <v>139</v>
      </c>
    </row>
    <row r="22" customFormat="false" ht="22.35" hidden="false" customHeight="false" outlineLevel="0" collapsed="false">
      <c r="A22" s="20" t="s">
        <v>140</v>
      </c>
      <c r="B22" s="22" t="n">
        <f aca="false">(C12+D12)/2</f>
        <v>0</v>
      </c>
      <c r="C22" s="21" t="s">
        <v>141</v>
      </c>
    </row>
    <row r="23" customFormat="false" ht="15" hidden="false" customHeight="false" outlineLevel="0" collapsed="false">
      <c r="A23" s="20" t="s">
        <v>142</v>
      </c>
      <c r="B23" s="20" t="n">
        <f aca="false">B13</f>
        <v>0</v>
      </c>
      <c r="C23" s="21" t="s">
        <v>128</v>
      </c>
    </row>
    <row r="24" customFormat="false" ht="43.25" hidden="false" customHeight="false" outlineLevel="0" collapsed="false">
      <c r="A24" s="20" t="s">
        <v>143</v>
      </c>
      <c r="B24" s="14" t="str">
        <f aca="false">IFERROR(B12/(B12+B13),"—")</f>
        <v>—</v>
      </c>
      <c r="C24" s="21" t="s">
        <v>144</v>
      </c>
    </row>
    <row r="25" customFormat="false" ht="32.8" hidden="false" customHeight="false" outlineLevel="0" collapsed="false">
      <c r="A25" s="20" t="s">
        <v>145</v>
      </c>
      <c r="B25" s="20" t="n">
        <f aca="false">B10+B11</f>
        <v>0</v>
      </c>
      <c r="C25" s="21" t="s">
        <v>146</v>
      </c>
    </row>
    <row r="26" customFormat="false" ht="22.35" hidden="false" customHeight="false" outlineLevel="0" collapsed="false">
      <c r="A26" s="20" t="s">
        <v>147</v>
      </c>
      <c r="B26" s="20" t="n">
        <f aca="false">COUNTIFS(Pipeline!$Q$4:$Q$63,"&gt;21")</f>
        <v>0</v>
      </c>
      <c r="C26" s="21" t="s">
        <v>148</v>
      </c>
    </row>
    <row r="27" customFormat="false" ht="32.8" hidden="false" customHeight="false" outlineLevel="0" collapsed="false">
      <c r="A27" s="20" t="s">
        <v>149</v>
      </c>
      <c r="B27" s="20" t="n">
        <f aca="true">COUNTIFS(Pipeline!$S$4:$S$63,"&lt;"&amp;TODAY(),Pipeline!$S$4:$S$63,"&lt;&gt;")</f>
        <v>0</v>
      </c>
      <c r="C27" s="21" t="s">
        <v>150</v>
      </c>
    </row>
    <row r="28" customFormat="false" ht="22.35" hidden="false" customHeight="false" outlineLevel="0" collapsed="false">
      <c r="A28" s="20" t="s">
        <v>151</v>
      </c>
      <c r="B28" s="20" t="n">
        <f aca="true">COUNTIFS(Activity!$A$4:$A$203,"&gt;="&amp;TODAY()-30)</f>
        <v>1</v>
      </c>
      <c r="C28" s="21" t="s">
        <v>152</v>
      </c>
    </row>
    <row r="29" customFormat="false" ht="15" hidden="false" customHeight="false" outlineLevel="0" collapsed="false">
      <c r="A29" s="20" t="s">
        <v>153</v>
      </c>
      <c r="B29" s="20" t="n">
        <f aca="true">COUNTIFS(Activity!$A$4:$A$203,"&gt;="&amp;TODAY()-7)</f>
        <v>0</v>
      </c>
      <c r="C29" s="21" t="s">
        <v>154</v>
      </c>
    </row>
    <row r="32" customFormat="false" ht="15" hidden="false" customHeight="false" outlineLevel="0" collapsed="false">
      <c r="A32" s="3" t="s">
        <v>155</v>
      </c>
      <c r="E32" s="3" t="s">
        <v>156</v>
      </c>
    </row>
    <row r="33" customFormat="false" ht="33.75" hidden="false" customHeight="true" outlineLevel="0" collapsed="false">
      <c r="A33" s="8" t="s">
        <v>48</v>
      </c>
      <c r="B33" s="8" t="s">
        <v>157</v>
      </c>
      <c r="C33" s="8" t="s">
        <v>158</v>
      </c>
      <c r="E33" s="8" t="s">
        <v>50</v>
      </c>
      <c r="F33" s="8" t="s">
        <v>128</v>
      </c>
      <c r="G33" s="8" t="s">
        <v>56</v>
      </c>
    </row>
    <row r="34" customFormat="false" ht="15" hidden="false" customHeight="false" outlineLevel="0" collapsed="false">
      <c r="A34" s="18" t="s">
        <v>53</v>
      </c>
      <c r="B34" s="18" t="n">
        <f aca="false">COUNTIFS(Pipeline!$F$4:$F$63,$A34)</f>
        <v>1</v>
      </c>
      <c r="C34" s="19" t="n">
        <f aca="false">SUMIFS(Pipeline!$M$4:$M$63,Pipeline!$F$4:$F$63,$A34)</f>
        <v>131.25</v>
      </c>
      <c r="E34" s="18" t="s">
        <v>55</v>
      </c>
      <c r="F34" s="18" t="n">
        <f aca="false">COUNTIFS(Pipeline!$G$4:$G$63,$E34)</f>
        <v>0</v>
      </c>
      <c r="G34" s="18" t="n">
        <f aca="false">COUNTIFS(Pipeline!$G$4:$G$63,$E34,Pipeline!$I$4:$I$63,"7. Won")</f>
        <v>0</v>
      </c>
    </row>
    <row r="35" customFormat="false" ht="15" hidden="false" customHeight="false" outlineLevel="0" collapsed="false">
      <c r="A35" s="18" t="s">
        <v>60</v>
      </c>
      <c r="B35" s="18" t="n">
        <f aca="false">COUNTIFS(Pipeline!$F$4:$F$63,$A35)</f>
        <v>0</v>
      </c>
      <c r="C35" s="19" t="n">
        <f aca="false">SUMIFS(Pipeline!$M$4:$M$63,Pipeline!$F$4:$F$63,$A35)</f>
        <v>0</v>
      </c>
      <c r="E35" s="18" t="s">
        <v>62</v>
      </c>
      <c r="F35" s="18" t="n">
        <f aca="false">COUNTIFS(Pipeline!$G$4:$G$63,$E35)</f>
        <v>1</v>
      </c>
      <c r="G35" s="18" t="n">
        <f aca="false">COUNTIFS(Pipeline!$G$4:$G$63,$E35,Pipeline!$I$4:$I$63,"7. Won")</f>
        <v>0</v>
      </c>
    </row>
    <row r="36" customFormat="false" ht="15" hidden="false" customHeight="false" outlineLevel="0" collapsed="false">
      <c r="A36" s="18" t="s">
        <v>64</v>
      </c>
      <c r="B36" s="18" t="n">
        <f aca="false">COUNTIFS(Pipeline!$F$4:$F$63,$A36)</f>
        <v>0</v>
      </c>
      <c r="C36" s="19" t="n">
        <f aca="false">SUMIFS(Pipeline!$M$4:$M$63,Pipeline!$F$4:$F$63,$A36)</f>
        <v>0</v>
      </c>
      <c r="E36" s="18" t="s">
        <v>66</v>
      </c>
      <c r="F36" s="18" t="n">
        <f aca="false">COUNTIFS(Pipeline!$G$4:$G$63,$E36)</f>
        <v>0</v>
      </c>
      <c r="G36" s="18" t="n">
        <f aca="false">COUNTIFS(Pipeline!$G$4:$G$63,$E36,Pipeline!$I$4:$I$63,"7. Won")</f>
        <v>0</v>
      </c>
    </row>
    <row r="37" customFormat="false" ht="15" hidden="false" customHeight="false" outlineLevel="0" collapsed="false">
      <c r="A37" s="18" t="s">
        <v>68</v>
      </c>
      <c r="B37" s="18" t="n">
        <f aca="false">COUNTIFS(Pipeline!$F$4:$F$63,$A37)</f>
        <v>0</v>
      </c>
      <c r="C37" s="19" t="n">
        <f aca="false">SUMIFS(Pipeline!$M$4:$M$63,Pipeline!$F$4:$F$63,$A37)</f>
        <v>0</v>
      </c>
      <c r="E37" s="18" t="s">
        <v>70</v>
      </c>
      <c r="F37" s="18" t="n">
        <f aca="false">COUNTIFS(Pipeline!$G$4:$G$63,$E37)</f>
        <v>0</v>
      </c>
      <c r="G37" s="18" t="n">
        <f aca="false">COUNTIFS(Pipeline!$G$4:$G$63,$E37,Pipeline!$I$4:$I$63,"7. Won")</f>
        <v>0</v>
      </c>
    </row>
    <row r="38" customFormat="false" ht="15" hidden="false" customHeight="false" outlineLevel="0" collapsed="false">
      <c r="A38" s="18" t="s">
        <v>72</v>
      </c>
      <c r="B38" s="18" t="n">
        <f aca="false">COUNTIFS(Pipeline!$F$4:$F$63,$A38)</f>
        <v>0</v>
      </c>
      <c r="C38" s="19" t="n">
        <f aca="false">SUMIFS(Pipeline!$M$4:$M$63,Pipeline!$F$4:$F$63,$A38)</f>
        <v>0</v>
      </c>
      <c r="E38" s="18" t="s">
        <v>74</v>
      </c>
      <c r="F38" s="18" t="n">
        <f aca="false">COUNTIFS(Pipeline!$G$4:$G$63,$E38)</f>
        <v>0</v>
      </c>
      <c r="G38" s="18" t="n">
        <f aca="false">COUNTIFS(Pipeline!$G$4:$G$63,$E38,Pipeline!$I$4:$I$63,"7. Won")</f>
        <v>0</v>
      </c>
    </row>
    <row r="39" customFormat="false" ht="15" hidden="false" customHeight="false" outlineLevel="0" collapsed="false">
      <c r="A39" s="18" t="s">
        <v>76</v>
      </c>
      <c r="B39" s="18" t="n">
        <f aca="false">COUNTIFS(Pipeline!$F$4:$F$63,$A39)</f>
        <v>0</v>
      </c>
      <c r="C39" s="19" t="n">
        <f aca="false">SUMIFS(Pipeline!$M$4:$M$63,Pipeline!$F$4:$F$63,$A39)</f>
        <v>0</v>
      </c>
      <c r="E39" s="18" t="s">
        <v>78</v>
      </c>
      <c r="F39" s="18" t="n">
        <f aca="false">COUNTIFS(Pipeline!$G$4:$G$63,$E39)</f>
        <v>0</v>
      </c>
      <c r="G39" s="18" t="n">
        <f aca="false">COUNTIFS(Pipeline!$G$4:$G$63,$E39,Pipeline!$I$4:$I$63,"7. Won")</f>
        <v>0</v>
      </c>
    </row>
    <row r="40" customFormat="false" ht="15" hidden="false" customHeight="false" outlineLevel="0" collapsed="false">
      <c r="A40" s="18" t="s">
        <v>80</v>
      </c>
      <c r="B40" s="18" t="n">
        <f aca="false">COUNTIFS(Pipeline!$F$4:$F$63,$A40)</f>
        <v>0</v>
      </c>
      <c r="C40" s="19" t="n">
        <f aca="false">SUMIFS(Pipeline!$M$4:$M$63,Pipeline!$F$4:$F$63,$A40)</f>
        <v>0</v>
      </c>
      <c r="E40" s="18" t="s">
        <v>82</v>
      </c>
      <c r="F40" s="18" t="n">
        <f aca="false">COUNTIFS(Pipeline!$G$4:$G$63,$E40)</f>
        <v>0</v>
      </c>
      <c r="G40" s="18" t="n">
        <f aca="false">COUNTIFS(Pipeline!$G$4:$G$63,$E40,Pipeline!$I$4:$I$63,"7. Won")</f>
        <v>0</v>
      </c>
    </row>
    <row r="41" customFormat="false" ht="15" hidden="false" customHeight="false" outlineLevel="0" collapsed="false">
      <c r="A41" s="18" t="s">
        <v>84</v>
      </c>
      <c r="B41" s="18" t="n">
        <f aca="false">COUNTIFS(Pipeline!$F$4:$F$63,$A41)</f>
        <v>0</v>
      </c>
      <c r="C41" s="19" t="n">
        <f aca="false">SUMIFS(Pipeline!$M$4:$M$63,Pipeline!$F$4:$F$63,$A41)</f>
        <v>0</v>
      </c>
      <c r="E41" s="18" t="s">
        <v>86</v>
      </c>
      <c r="F41" s="18" t="n">
        <f aca="false">COUNTIFS(Pipeline!$G$4:$G$63,$E41)</f>
        <v>0</v>
      </c>
      <c r="G41" s="18" t="n">
        <f aca="false">COUNTIFS(Pipeline!$G$4:$G$63,$E41,Pipeline!$I$4:$I$63,"7. Won")</f>
        <v>0</v>
      </c>
    </row>
    <row r="42" customFormat="false" ht="15" hidden="false" customHeight="false" outlineLevel="0" collapsed="false">
      <c r="E42" s="18" t="s">
        <v>89</v>
      </c>
      <c r="F42" s="18" t="n">
        <f aca="false">COUNTIFS(Pipeline!$G$4:$G$63,$E42)</f>
        <v>0</v>
      </c>
      <c r="G42" s="18" t="n">
        <f aca="false">COUNTIFS(Pipeline!$G$4:$G$63,$E42,Pipeline!$I$4:$I$63,"7. Won")</f>
        <v>0</v>
      </c>
    </row>
    <row r="43" customFormat="false" ht="15" hidden="false" customHeight="false" outlineLevel="0" collapsed="false">
      <c r="E43" s="18" t="s">
        <v>84</v>
      </c>
      <c r="F43" s="18" t="n">
        <f aca="false">COUNTIFS(Pipeline!$G$4:$G$63,$E43)</f>
        <v>0</v>
      </c>
      <c r="G43" s="18" t="n">
        <f aca="false">COUNTIFS(Pipeline!$G$4:$G$63,$E43,Pipeline!$I$4:$I$63,"7. Won")</f>
        <v>0</v>
      </c>
    </row>
    <row r="46" customFormat="false" ht="15" hidden="false" customHeight="false" outlineLevel="0" collapsed="false">
      <c r="A46" s="3" t="s">
        <v>159</v>
      </c>
    </row>
    <row r="47" customFormat="false" ht="33.75" hidden="false" customHeight="true" outlineLevel="0" collapsed="false">
      <c r="A47" s="8" t="s">
        <v>160</v>
      </c>
      <c r="B47" s="8" t="s">
        <v>128</v>
      </c>
    </row>
    <row r="48" customFormat="false" ht="15" hidden="false" customHeight="false" outlineLevel="0" collapsed="false">
      <c r="A48" s="18" t="s">
        <v>56</v>
      </c>
      <c r="B48" s="18" t="n">
        <f aca="false">COUNTIFS(Pipeline!$T$4:$T$63,$A48)</f>
        <v>0</v>
      </c>
    </row>
    <row r="49" customFormat="false" ht="15" hidden="false" customHeight="false" outlineLevel="0" collapsed="false">
      <c r="A49" s="18" t="s">
        <v>63</v>
      </c>
      <c r="B49" s="18" t="n">
        <f aca="false">COUNTIFS(Pipeline!$T$4:$T$63,$A49)</f>
        <v>0</v>
      </c>
    </row>
    <row r="50" customFormat="false" ht="15" hidden="false" customHeight="false" outlineLevel="0" collapsed="false">
      <c r="A50" s="18" t="s">
        <v>67</v>
      </c>
      <c r="B50" s="18" t="n">
        <f aca="false">COUNTIFS(Pipeline!$T$4:$T$63,$A50)</f>
        <v>0</v>
      </c>
    </row>
    <row r="51" customFormat="false" ht="15" hidden="false" customHeight="false" outlineLevel="0" collapsed="false">
      <c r="A51" s="18" t="s">
        <v>71</v>
      </c>
      <c r="B51" s="18" t="n">
        <f aca="false">COUNTIFS(Pipeline!$T$4:$T$63,$A51)</f>
        <v>0</v>
      </c>
    </row>
    <row r="52" customFormat="false" ht="15" hidden="false" customHeight="false" outlineLevel="0" collapsed="false">
      <c r="A52" s="18" t="s">
        <v>75</v>
      </c>
      <c r="B52" s="18" t="n">
        <f aca="false">COUNTIFS(Pipeline!$T$4:$T$63,$A52)</f>
        <v>0</v>
      </c>
    </row>
    <row r="53" customFormat="false" ht="15" hidden="false" customHeight="false" outlineLevel="0" collapsed="false">
      <c r="A53" s="18" t="s">
        <v>79</v>
      </c>
      <c r="B53" s="18" t="n">
        <f aca="false">COUNTIFS(Pipeline!$T$4:$T$63,$A53)</f>
        <v>0</v>
      </c>
    </row>
    <row r="54" customFormat="false" ht="15" hidden="false" customHeight="false" outlineLevel="0" collapsed="false">
      <c r="A54" s="18" t="s">
        <v>83</v>
      </c>
      <c r="B54" s="18" t="n">
        <f aca="false">COUNTIFS(Pipeline!$T$4:$T$63,$A54)</f>
        <v>0</v>
      </c>
    </row>
    <row r="55" customFormat="false" ht="15" hidden="false" customHeight="false" outlineLevel="0" collapsed="false">
      <c r="A55" s="18" t="s">
        <v>87</v>
      </c>
      <c r="B55" s="18" t="n">
        <f aca="false">COUNTIFS(Pipeline!$T$4:$T$63,$A55)</f>
        <v>0</v>
      </c>
    </row>
    <row r="56" customFormat="false" ht="15" hidden="false" customHeight="false" outlineLevel="0" collapsed="false">
      <c r="A56" s="18" t="s">
        <v>90</v>
      </c>
      <c r="B56" s="18" t="n">
        <f aca="false">COUNTIFS(Pipeline!$T$4:$T$63,$A56)</f>
        <v>0</v>
      </c>
    </row>
    <row r="57" customFormat="false" ht="15" hidden="false" customHeight="false" outlineLevel="0" collapsed="false">
      <c r="A57" s="18" t="s">
        <v>92</v>
      </c>
      <c r="B57" s="18" t="n">
        <f aca="false">COUNTIFS(Pipeline!$T$4:$T$63,$A57)</f>
        <v>0</v>
      </c>
    </row>
    <row r="58" customFormat="false" ht="15" hidden="false" customHeight="false" outlineLevel="0" collapsed="false">
      <c r="A58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8"/>
    <col collapsed="false" customWidth="true" hidden="false" outlineLevel="0" max="5" min="5" style="0" width="26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9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3" customFormat="false" ht="33.75" hidden="false" customHeight="true" outlineLevel="0" collapsed="false">
      <c r="A3" s="8" t="s">
        <v>164</v>
      </c>
      <c r="B3" s="8" t="s">
        <v>102</v>
      </c>
      <c r="C3" s="8" t="s">
        <v>165</v>
      </c>
      <c r="D3" s="8" t="s">
        <v>166</v>
      </c>
      <c r="E3" s="8" t="s">
        <v>167</v>
      </c>
      <c r="F3" s="8" t="s">
        <v>168</v>
      </c>
      <c r="G3" s="8" t="s">
        <v>169</v>
      </c>
      <c r="H3" s="8" t="s">
        <v>170</v>
      </c>
      <c r="I3" s="8" t="s">
        <v>171</v>
      </c>
    </row>
    <row r="4" customFormat="false" ht="23.85" hidden="false" customHeight="false" outlineLevel="0" collapsed="false">
      <c r="A4" s="13" t="n">
        <f aca="false">DATE(2026,9,2)</f>
        <v>46267</v>
      </c>
      <c r="B4" s="12" t="s">
        <v>118</v>
      </c>
      <c r="C4" s="12" t="s">
        <v>119</v>
      </c>
      <c r="D4" s="12" t="s">
        <v>172</v>
      </c>
      <c r="E4" s="12" t="s">
        <v>173</v>
      </c>
      <c r="F4" s="12" t="s">
        <v>174</v>
      </c>
      <c r="G4" s="12" t="s">
        <v>117</v>
      </c>
      <c r="H4" s="13" t="n">
        <f aca="false">DATE(2026,9,15)</f>
        <v>46280</v>
      </c>
      <c r="I4" s="12" t="s">
        <v>175</v>
      </c>
    </row>
    <row r="5" customFormat="false" ht="15" hidden="false" customHeight="false" outlineLevel="0" collapsed="false">
      <c r="A5" s="13"/>
      <c r="B5" s="12"/>
      <c r="C5" s="12"/>
      <c r="D5" s="12"/>
      <c r="E5" s="12"/>
      <c r="F5" s="12"/>
      <c r="G5" s="12"/>
      <c r="H5" s="13"/>
      <c r="I5" s="12"/>
    </row>
    <row r="6" customFormat="false" ht="15" hidden="false" customHeight="false" outlineLevel="0" collapsed="false">
      <c r="A6" s="13"/>
      <c r="B6" s="12"/>
      <c r="C6" s="12"/>
      <c r="D6" s="12"/>
      <c r="E6" s="12"/>
      <c r="F6" s="12"/>
      <c r="G6" s="12"/>
      <c r="H6" s="13"/>
      <c r="I6" s="12"/>
    </row>
    <row r="7" customFormat="false" ht="15" hidden="false" customHeight="false" outlineLevel="0" collapsed="false">
      <c r="A7" s="13"/>
      <c r="B7" s="12"/>
      <c r="C7" s="12"/>
      <c r="D7" s="12"/>
      <c r="E7" s="12"/>
      <c r="F7" s="12"/>
      <c r="G7" s="12"/>
      <c r="H7" s="13"/>
      <c r="I7" s="12"/>
    </row>
    <row r="8" customFormat="false" ht="15" hidden="false" customHeight="false" outlineLevel="0" collapsed="false">
      <c r="A8" s="13"/>
      <c r="B8" s="12"/>
      <c r="C8" s="12"/>
      <c r="D8" s="12"/>
      <c r="E8" s="12"/>
      <c r="F8" s="12"/>
      <c r="G8" s="12"/>
      <c r="H8" s="13"/>
      <c r="I8" s="12"/>
    </row>
    <row r="9" customFormat="false" ht="15" hidden="false" customHeight="false" outlineLevel="0" collapsed="false">
      <c r="A9" s="13"/>
      <c r="B9" s="12"/>
      <c r="C9" s="12"/>
      <c r="D9" s="12"/>
      <c r="E9" s="12"/>
      <c r="F9" s="12"/>
      <c r="G9" s="12"/>
      <c r="H9" s="13"/>
      <c r="I9" s="12"/>
    </row>
    <row r="10" customFormat="false" ht="15" hidden="false" customHeight="false" outlineLevel="0" collapsed="false">
      <c r="A10" s="13"/>
      <c r="B10" s="12"/>
      <c r="C10" s="12"/>
      <c r="D10" s="12"/>
      <c r="E10" s="12"/>
      <c r="F10" s="12"/>
      <c r="G10" s="12"/>
      <c r="H10" s="13"/>
      <c r="I10" s="12"/>
    </row>
    <row r="11" customFormat="false" ht="15" hidden="false" customHeight="false" outlineLevel="0" collapsed="false">
      <c r="A11" s="13"/>
      <c r="B11" s="12"/>
      <c r="C11" s="12"/>
      <c r="D11" s="12"/>
      <c r="E11" s="12"/>
      <c r="F11" s="12"/>
      <c r="G11" s="12"/>
      <c r="H11" s="13"/>
      <c r="I11" s="12"/>
    </row>
    <row r="12" customFormat="false" ht="15" hidden="false" customHeight="false" outlineLevel="0" collapsed="false">
      <c r="A12" s="13"/>
      <c r="B12" s="12"/>
      <c r="C12" s="12"/>
      <c r="D12" s="12"/>
      <c r="E12" s="12"/>
      <c r="F12" s="12"/>
      <c r="G12" s="12"/>
      <c r="H12" s="13"/>
      <c r="I12" s="12"/>
    </row>
    <row r="13" customFormat="false" ht="15" hidden="false" customHeight="false" outlineLevel="0" collapsed="false">
      <c r="A13" s="13"/>
      <c r="B13" s="12"/>
      <c r="C13" s="12"/>
      <c r="D13" s="12"/>
      <c r="E13" s="12"/>
      <c r="F13" s="12"/>
      <c r="G13" s="12"/>
      <c r="H13" s="13"/>
      <c r="I13" s="12"/>
    </row>
    <row r="14" customFormat="false" ht="15" hidden="false" customHeight="false" outlineLevel="0" collapsed="false">
      <c r="A14" s="13"/>
      <c r="B14" s="12"/>
      <c r="C14" s="12"/>
      <c r="D14" s="12"/>
      <c r="E14" s="12"/>
      <c r="F14" s="12"/>
      <c r="G14" s="12"/>
      <c r="H14" s="13"/>
      <c r="I14" s="12"/>
    </row>
    <row r="15" customFormat="false" ht="15" hidden="false" customHeight="false" outlineLevel="0" collapsed="false">
      <c r="A15" s="13"/>
      <c r="B15" s="12"/>
      <c r="C15" s="12"/>
      <c r="D15" s="12"/>
      <c r="E15" s="12"/>
      <c r="F15" s="12"/>
      <c r="G15" s="12"/>
      <c r="H15" s="13"/>
      <c r="I15" s="12"/>
    </row>
    <row r="16" customFormat="false" ht="15" hidden="false" customHeight="false" outlineLevel="0" collapsed="false">
      <c r="A16" s="13"/>
      <c r="B16" s="12"/>
      <c r="C16" s="12"/>
      <c r="D16" s="12"/>
      <c r="E16" s="12"/>
      <c r="F16" s="12"/>
      <c r="G16" s="12"/>
      <c r="H16" s="13"/>
      <c r="I16" s="12"/>
    </row>
    <row r="17" customFormat="false" ht="15" hidden="false" customHeight="false" outlineLevel="0" collapsed="false">
      <c r="A17" s="13"/>
      <c r="B17" s="12"/>
      <c r="C17" s="12"/>
      <c r="D17" s="12"/>
      <c r="E17" s="12"/>
      <c r="F17" s="12"/>
      <c r="G17" s="12"/>
      <c r="H17" s="13"/>
      <c r="I17" s="12"/>
    </row>
    <row r="18" customFormat="false" ht="15" hidden="false" customHeight="false" outlineLevel="0" collapsed="false">
      <c r="A18" s="13"/>
      <c r="B18" s="12"/>
      <c r="C18" s="12"/>
      <c r="D18" s="12"/>
      <c r="E18" s="12"/>
      <c r="F18" s="12"/>
      <c r="G18" s="12"/>
      <c r="H18" s="13"/>
      <c r="I18" s="12"/>
    </row>
    <row r="19" customFormat="false" ht="15" hidden="false" customHeight="false" outlineLevel="0" collapsed="false">
      <c r="A19" s="13"/>
      <c r="B19" s="12"/>
      <c r="C19" s="12"/>
      <c r="D19" s="12"/>
      <c r="E19" s="12"/>
      <c r="F19" s="12"/>
      <c r="G19" s="12"/>
      <c r="H19" s="13"/>
      <c r="I19" s="12"/>
    </row>
    <row r="20" customFormat="false" ht="15" hidden="false" customHeight="false" outlineLevel="0" collapsed="false">
      <c r="A20" s="13"/>
      <c r="B20" s="12"/>
      <c r="C20" s="12"/>
      <c r="D20" s="12"/>
      <c r="E20" s="12"/>
      <c r="F20" s="12"/>
      <c r="G20" s="12"/>
      <c r="H20" s="13"/>
      <c r="I20" s="12"/>
    </row>
    <row r="21" customFormat="false" ht="15" hidden="false" customHeight="false" outlineLevel="0" collapsed="false">
      <c r="A21" s="13"/>
      <c r="B21" s="12"/>
      <c r="C21" s="12"/>
      <c r="D21" s="12"/>
      <c r="E21" s="12"/>
      <c r="F21" s="12"/>
      <c r="G21" s="12"/>
      <c r="H21" s="13"/>
      <c r="I21" s="12"/>
    </row>
    <row r="22" customFormat="false" ht="15" hidden="false" customHeight="false" outlineLevel="0" collapsed="false">
      <c r="A22" s="13"/>
      <c r="B22" s="12"/>
      <c r="C22" s="12"/>
      <c r="D22" s="12"/>
      <c r="E22" s="12"/>
      <c r="F22" s="12"/>
      <c r="G22" s="12"/>
      <c r="H22" s="13"/>
      <c r="I22" s="12"/>
    </row>
    <row r="23" customFormat="false" ht="15" hidden="false" customHeight="false" outlineLevel="0" collapsed="false">
      <c r="A23" s="13"/>
      <c r="B23" s="12"/>
      <c r="C23" s="12"/>
      <c r="D23" s="12"/>
      <c r="E23" s="12"/>
      <c r="F23" s="12"/>
      <c r="G23" s="12"/>
      <c r="H23" s="13"/>
      <c r="I23" s="12"/>
    </row>
    <row r="24" customFormat="false" ht="15" hidden="false" customHeight="false" outlineLevel="0" collapsed="false">
      <c r="A24" s="13"/>
      <c r="B24" s="12"/>
      <c r="C24" s="12"/>
      <c r="D24" s="12"/>
      <c r="E24" s="12"/>
      <c r="F24" s="12"/>
      <c r="G24" s="12"/>
      <c r="H24" s="13"/>
      <c r="I24" s="12"/>
    </row>
    <row r="25" customFormat="false" ht="15" hidden="false" customHeight="false" outlineLevel="0" collapsed="false">
      <c r="A25" s="13"/>
      <c r="B25" s="12"/>
      <c r="C25" s="12"/>
      <c r="D25" s="12"/>
      <c r="E25" s="12"/>
      <c r="F25" s="12"/>
      <c r="G25" s="12"/>
      <c r="H25" s="13"/>
      <c r="I25" s="12"/>
    </row>
    <row r="26" customFormat="false" ht="15" hidden="false" customHeight="false" outlineLevel="0" collapsed="false">
      <c r="A26" s="13"/>
      <c r="B26" s="12"/>
      <c r="C26" s="12"/>
      <c r="D26" s="12"/>
      <c r="E26" s="12"/>
      <c r="F26" s="12"/>
      <c r="G26" s="12"/>
      <c r="H26" s="13"/>
      <c r="I26" s="12"/>
    </row>
    <row r="27" customFormat="false" ht="15" hidden="false" customHeight="false" outlineLevel="0" collapsed="false">
      <c r="A27" s="13"/>
      <c r="B27" s="12"/>
      <c r="C27" s="12"/>
      <c r="D27" s="12"/>
      <c r="E27" s="12"/>
      <c r="F27" s="12"/>
      <c r="G27" s="12"/>
      <c r="H27" s="13"/>
      <c r="I27" s="12"/>
    </row>
    <row r="28" customFormat="false" ht="15" hidden="false" customHeight="false" outlineLevel="0" collapsed="false">
      <c r="A28" s="13"/>
      <c r="B28" s="12"/>
      <c r="C28" s="12"/>
      <c r="D28" s="12"/>
      <c r="E28" s="12"/>
      <c r="F28" s="12"/>
      <c r="G28" s="12"/>
      <c r="H28" s="13"/>
      <c r="I28" s="12"/>
    </row>
    <row r="29" customFormat="false" ht="15" hidden="false" customHeight="false" outlineLevel="0" collapsed="false">
      <c r="A29" s="13"/>
      <c r="B29" s="12"/>
      <c r="C29" s="12"/>
      <c r="D29" s="12"/>
      <c r="E29" s="12"/>
      <c r="F29" s="12"/>
      <c r="G29" s="12"/>
      <c r="H29" s="13"/>
      <c r="I29" s="12"/>
    </row>
    <row r="30" customFormat="false" ht="15" hidden="false" customHeight="false" outlineLevel="0" collapsed="false">
      <c r="A30" s="13"/>
      <c r="B30" s="12"/>
      <c r="C30" s="12"/>
      <c r="D30" s="12"/>
      <c r="E30" s="12"/>
      <c r="F30" s="12"/>
      <c r="G30" s="12"/>
      <c r="H30" s="13"/>
      <c r="I30" s="12"/>
    </row>
    <row r="31" customFormat="false" ht="15" hidden="false" customHeight="false" outlineLevel="0" collapsed="false">
      <c r="A31" s="13"/>
      <c r="B31" s="12"/>
      <c r="C31" s="12"/>
      <c r="D31" s="12"/>
      <c r="E31" s="12"/>
      <c r="F31" s="12"/>
      <c r="G31" s="12"/>
      <c r="H31" s="13"/>
      <c r="I31" s="12"/>
    </row>
    <row r="32" customFormat="false" ht="15" hidden="false" customHeight="false" outlineLevel="0" collapsed="false">
      <c r="A32" s="13"/>
      <c r="B32" s="12"/>
      <c r="C32" s="12"/>
      <c r="D32" s="12"/>
      <c r="E32" s="12"/>
      <c r="F32" s="12"/>
      <c r="G32" s="12"/>
      <c r="H32" s="13"/>
      <c r="I32" s="12"/>
    </row>
    <row r="33" customFormat="false" ht="15" hidden="false" customHeight="false" outlineLevel="0" collapsed="false">
      <c r="A33" s="13"/>
      <c r="B33" s="12"/>
      <c r="C33" s="12"/>
      <c r="D33" s="12"/>
      <c r="E33" s="12"/>
      <c r="F33" s="12"/>
      <c r="G33" s="12"/>
      <c r="H33" s="13"/>
      <c r="I33" s="12"/>
    </row>
    <row r="34" customFormat="false" ht="15" hidden="false" customHeight="false" outlineLevel="0" collapsed="false">
      <c r="A34" s="13"/>
      <c r="B34" s="12"/>
      <c r="C34" s="12"/>
      <c r="D34" s="12"/>
      <c r="E34" s="12"/>
      <c r="F34" s="12"/>
      <c r="G34" s="12"/>
      <c r="H34" s="13"/>
      <c r="I34" s="12"/>
    </row>
    <row r="35" customFormat="false" ht="15" hidden="false" customHeight="false" outlineLevel="0" collapsed="false">
      <c r="A35" s="13"/>
      <c r="B35" s="12"/>
      <c r="C35" s="12"/>
      <c r="D35" s="12"/>
      <c r="E35" s="12"/>
      <c r="F35" s="12"/>
      <c r="G35" s="12"/>
      <c r="H35" s="13"/>
      <c r="I35" s="12"/>
    </row>
    <row r="36" customFormat="false" ht="15" hidden="false" customHeight="false" outlineLevel="0" collapsed="false">
      <c r="A36" s="13"/>
      <c r="B36" s="12"/>
      <c r="C36" s="12"/>
      <c r="D36" s="12"/>
      <c r="E36" s="12"/>
      <c r="F36" s="12"/>
      <c r="G36" s="12"/>
      <c r="H36" s="13"/>
      <c r="I36" s="12"/>
    </row>
    <row r="37" customFormat="false" ht="15" hidden="false" customHeight="false" outlineLevel="0" collapsed="false">
      <c r="A37" s="13"/>
      <c r="B37" s="12"/>
      <c r="C37" s="12"/>
      <c r="D37" s="12"/>
      <c r="E37" s="12"/>
      <c r="F37" s="12"/>
      <c r="G37" s="12"/>
      <c r="H37" s="13"/>
      <c r="I37" s="12"/>
    </row>
    <row r="38" customFormat="false" ht="15" hidden="false" customHeight="false" outlineLevel="0" collapsed="false">
      <c r="A38" s="13"/>
      <c r="B38" s="12"/>
      <c r="C38" s="12"/>
      <c r="D38" s="12"/>
      <c r="E38" s="12"/>
      <c r="F38" s="12"/>
      <c r="G38" s="12"/>
      <c r="H38" s="13"/>
      <c r="I38" s="12"/>
    </row>
    <row r="39" customFormat="false" ht="15" hidden="false" customHeight="false" outlineLevel="0" collapsed="false">
      <c r="A39" s="13"/>
      <c r="B39" s="12"/>
      <c r="C39" s="12"/>
      <c r="D39" s="12"/>
      <c r="E39" s="12"/>
      <c r="F39" s="12"/>
      <c r="G39" s="12"/>
      <c r="H39" s="13"/>
      <c r="I39" s="12"/>
    </row>
    <row r="40" customFormat="false" ht="15" hidden="false" customHeight="false" outlineLevel="0" collapsed="false">
      <c r="A40" s="13"/>
      <c r="B40" s="12"/>
      <c r="C40" s="12"/>
      <c r="D40" s="12"/>
      <c r="E40" s="12"/>
      <c r="F40" s="12"/>
      <c r="G40" s="12"/>
      <c r="H40" s="13"/>
      <c r="I40" s="12"/>
    </row>
    <row r="41" customFormat="false" ht="15" hidden="false" customHeight="false" outlineLevel="0" collapsed="false">
      <c r="A41" s="13"/>
      <c r="B41" s="12"/>
      <c r="C41" s="12"/>
      <c r="D41" s="12"/>
      <c r="E41" s="12"/>
      <c r="F41" s="12"/>
      <c r="G41" s="12"/>
      <c r="H41" s="13"/>
      <c r="I41" s="12"/>
    </row>
    <row r="42" customFormat="false" ht="15" hidden="false" customHeight="false" outlineLevel="0" collapsed="false">
      <c r="A42" s="13"/>
      <c r="B42" s="12"/>
      <c r="C42" s="12"/>
      <c r="D42" s="12"/>
      <c r="E42" s="12"/>
      <c r="F42" s="12"/>
      <c r="G42" s="12"/>
      <c r="H42" s="13"/>
      <c r="I42" s="12"/>
    </row>
    <row r="43" customFormat="false" ht="15" hidden="false" customHeight="false" outlineLevel="0" collapsed="false">
      <c r="A43" s="13"/>
      <c r="B43" s="12"/>
      <c r="C43" s="12"/>
      <c r="D43" s="12"/>
      <c r="E43" s="12"/>
      <c r="F43" s="12"/>
      <c r="G43" s="12"/>
      <c r="H43" s="13"/>
      <c r="I43" s="12"/>
    </row>
    <row r="44" customFormat="false" ht="15" hidden="false" customHeight="false" outlineLevel="0" collapsed="false">
      <c r="A44" s="13"/>
      <c r="B44" s="12"/>
      <c r="C44" s="12"/>
      <c r="D44" s="12"/>
      <c r="E44" s="12"/>
      <c r="F44" s="12"/>
      <c r="G44" s="12"/>
      <c r="H44" s="13"/>
      <c r="I44" s="12"/>
    </row>
    <row r="45" customFormat="false" ht="15" hidden="false" customHeight="false" outlineLevel="0" collapsed="false">
      <c r="A45" s="13"/>
      <c r="B45" s="12"/>
      <c r="C45" s="12"/>
      <c r="D45" s="12"/>
      <c r="E45" s="12"/>
      <c r="F45" s="12"/>
      <c r="G45" s="12"/>
      <c r="H45" s="13"/>
      <c r="I45" s="12"/>
    </row>
    <row r="46" customFormat="false" ht="15" hidden="false" customHeight="false" outlineLevel="0" collapsed="false">
      <c r="A46" s="13"/>
      <c r="B46" s="12"/>
      <c r="C46" s="12"/>
      <c r="D46" s="12"/>
      <c r="E46" s="12"/>
      <c r="F46" s="12"/>
      <c r="G46" s="12"/>
      <c r="H46" s="13"/>
      <c r="I46" s="12"/>
    </row>
    <row r="47" customFormat="false" ht="15" hidden="false" customHeight="false" outlineLevel="0" collapsed="false">
      <c r="A47" s="13"/>
      <c r="B47" s="12"/>
      <c r="C47" s="12"/>
      <c r="D47" s="12"/>
      <c r="E47" s="12"/>
      <c r="F47" s="12"/>
      <c r="G47" s="12"/>
      <c r="H47" s="13"/>
      <c r="I47" s="12"/>
    </row>
    <row r="48" customFormat="false" ht="15" hidden="false" customHeight="false" outlineLevel="0" collapsed="false">
      <c r="A48" s="13"/>
      <c r="B48" s="12"/>
      <c r="C48" s="12"/>
      <c r="D48" s="12"/>
      <c r="E48" s="12"/>
      <c r="F48" s="12"/>
      <c r="G48" s="12"/>
      <c r="H48" s="13"/>
      <c r="I48" s="12"/>
    </row>
    <row r="49" customFormat="false" ht="15" hidden="false" customHeight="false" outlineLevel="0" collapsed="false">
      <c r="A49" s="13"/>
      <c r="B49" s="12"/>
      <c r="C49" s="12"/>
      <c r="D49" s="12"/>
      <c r="E49" s="12"/>
      <c r="F49" s="12"/>
      <c r="G49" s="12"/>
      <c r="H49" s="13"/>
      <c r="I49" s="12"/>
    </row>
    <row r="50" customFormat="false" ht="15" hidden="false" customHeight="false" outlineLevel="0" collapsed="false">
      <c r="A50" s="13"/>
      <c r="B50" s="12"/>
      <c r="C50" s="12"/>
      <c r="D50" s="12"/>
      <c r="E50" s="12"/>
      <c r="F50" s="12"/>
      <c r="G50" s="12"/>
      <c r="H50" s="13"/>
      <c r="I50" s="12"/>
    </row>
    <row r="51" customFormat="false" ht="15" hidden="false" customHeight="false" outlineLevel="0" collapsed="false">
      <c r="A51" s="13"/>
      <c r="B51" s="12"/>
      <c r="C51" s="12"/>
      <c r="D51" s="12"/>
      <c r="E51" s="12"/>
      <c r="F51" s="12"/>
      <c r="G51" s="12"/>
      <c r="H51" s="13"/>
      <c r="I51" s="12"/>
    </row>
    <row r="52" customFormat="false" ht="15" hidden="false" customHeight="false" outlineLevel="0" collapsed="false">
      <c r="A52" s="13"/>
      <c r="B52" s="12"/>
      <c r="C52" s="12"/>
      <c r="D52" s="12"/>
      <c r="E52" s="12"/>
      <c r="F52" s="12"/>
      <c r="G52" s="12"/>
      <c r="H52" s="13"/>
      <c r="I52" s="12"/>
    </row>
    <row r="53" customFormat="false" ht="15" hidden="false" customHeight="false" outlineLevel="0" collapsed="false">
      <c r="A53" s="13"/>
      <c r="B53" s="12"/>
      <c r="C53" s="12"/>
      <c r="D53" s="12"/>
      <c r="E53" s="12"/>
      <c r="F53" s="12"/>
      <c r="G53" s="12"/>
      <c r="H53" s="13"/>
      <c r="I53" s="12"/>
    </row>
    <row r="54" customFormat="false" ht="15" hidden="false" customHeight="false" outlineLevel="0" collapsed="false">
      <c r="A54" s="13"/>
      <c r="B54" s="12"/>
      <c r="C54" s="12"/>
      <c r="D54" s="12"/>
      <c r="E54" s="12"/>
      <c r="F54" s="12"/>
      <c r="G54" s="12"/>
      <c r="H54" s="13"/>
      <c r="I54" s="12"/>
    </row>
    <row r="55" customFormat="false" ht="15" hidden="false" customHeight="false" outlineLevel="0" collapsed="false">
      <c r="A55" s="13"/>
      <c r="B55" s="12"/>
      <c r="C55" s="12"/>
      <c r="D55" s="12"/>
      <c r="E55" s="12"/>
      <c r="F55" s="12"/>
      <c r="G55" s="12"/>
      <c r="H55" s="13"/>
      <c r="I55" s="12"/>
    </row>
    <row r="56" customFormat="false" ht="15" hidden="false" customHeight="false" outlineLevel="0" collapsed="false">
      <c r="A56" s="13"/>
      <c r="B56" s="12"/>
      <c r="C56" s="12"/>
      <c r="D56" s="12"/>
      <c r="E56" s="12"/>
      <c r="F56" s="12"/>
      <c r="G56" s="12"/>
      <c r="H56" s="13"/>
      <c r="I56" s="12"/>
    </row>
    <row r="57" customFormat="false" ht="15" hidden="false" customHeight="false" outlineLevel="0" collapsed="false">
      <c r="A57" s="13"/>
      <c r="B57" s="12"/>
      <c r="C57" s="12"/>
      <c r="D57" s="12"/>
      <c r="E57" s="12"/>
      <c r="F57" s="12"/>
      <c r="G57" s="12"/>
      <c r="H57" s="13"/>
      <c r="I57" s="12"/>
    </row>
    <row r="58" customFormat="false" ht="15" hidden="false" customHeight="false" outlineLevel="0" collapsed="false">
      <c r="A58" s="13"/>
      <c r="B58" s="12"/>
      <c r="C58" s="12"/>
      <c r="D58" s="12"/>
      <c r="E58" s="12"/>
      <c r="F58" s="12"/>
      <c r="G58" s="12"/>
      <c r="H58" s="13"/>
      <c r="I58" s="12"/>
    </row>
    <row r="59" customFormat="false" ht="15" hidden="false" customHeight="false" outlineLevel="0" collapsed="false">
      <c r="A59" s="13"/>
      <c r="B59" s="12"/>
      <c r="C59" s="12"/>
      <c r="D59" s="12"/>
      <c r="E59" s="12"/>
      <c r="F59" s="12"/>
      <c r="G59" s="12"/>
      <c r="H59" s="13"/>
      <c r="I59" s="12"/>
    </row>
    <row r="60" customFormat="false" ht="15" hidden="false" customHeight="false" outlineLevel="0" collapsed="false">
      <c r="A60" s="13"/>
      <c r="B60" s="12"/>
      <c r="C60" s="12"/>
      <c r="D60" s="12"/>
      <c r="E60" s="12"/>
      <c r="F60" s="12"/>
      <c r="G60" s="12"/>
      <c r="H60" s="13"/>
      <c r="I60" s="12"/>
    </row>
    <row r="61" customFormat="false" ht="15" hidden="false" customHeight="false" outlineLevel="0" collapsed="false">
      <c r="A61" s="13"/>
      <c r="B61" s="12"/>
      <c r="C61" s="12"/>
      <c r="D61" s="12"/>
      <c r="E61" s="12"/>
      <c r="F61" s="12"/>
      <c r="G61" s="12"/>
      <c r="H61" s="13"/>
      <c r="I61" s="12"/>
    </row>
    <row r="62" customFormat="false" ht="15" hidden="false" customHeight="false" outlineLevel="0" collapsed="false">
      <c r="A62" s="13"/>
      <c r="B62" s="12"/>
      <c r="C62" s="12"/>
      <c r="D62" s="12"/>
      <c r="E62" s="12"/>
      <c r="F62" s="12"/>
      <c r="G62" s="12"/>
      <c r="H62" s="13"/>
      <c r="I62" s="12"/>
    </row>
    <row r="63" customFormat="false" ht="15" hidden="false" customHeight="false" outlineLevel="0" collapsed="false">
      <c r="A63" s="13"/>
      <c r="B63" s="12"/>
      <c r="C63" s="12"/>
      <c r="D63" s="12"/>
      <c r="E63" s="12"/>
      <c r="F63" s="12"/>
      <c r="G63" s="12"/>
      <c r="H63" s="13"/>
      <c r="I63" s="12"/>
    </row>
    <row r="64" customFormat="false" ht="15" hidden="false" customHeight="false" outlineLevel="0" collapsed="false">
      <c r="A64" s="13"/>
      <c r="B64" s="12"/>
      <c r="C64" s="12"/>
      <c r="D64" s="12"/>
      <c r="E64" s="12"/>
      <c r="F64" s="12"/>
      <c r="G64" s="12"/>
      <c r="H64" s="13"/>
      <c r="I64" s="12"/>
    </row>
    <row r="65" customFormat="false" ht="15" hidden="false" customHeight="false" outlineLevel="0" collapsed="false">
      <c r="A65" s="13"/>
      <c r="B65" s="12"/>
      <c r="C65" s="12"/>
      <c r="D65" s="12"/>
      <c r="E65" s="12"/>
      <c r="F65" s="12"/>
      <c r="G65" s="12"/>
      <c r="H65" s="13"/>
      <c r="I65" s="12"/>
    </row>
    <row r="66" customFormat="false" ht="15" hidden="false" customHeight="false" outlineLevel="0" collapsed="false">
      <c r="A66" s="13"/>
      <c r="B66" s="12"/>
      <c r="C66" s="12"/>
      <c r="D66" s="12"/>
      <c r="E66" s="12"/>
      <c r="F66" s="12"/>
      <c r="G66" s="12"/>
      <c r="H66" s="13"/>
      <c r="I66" s="12"/>
    </row>
    <row r="67" customFormat="false" ht="15" hidden="false" customHeight="false" outlineLevel="0" collapsed="false">
      <c r="A67" s="13"/>
      <c r="B67" s="12"/>
      <c r="C67" s="12"/>
      <c r="D67" s="12"/>
      <c r="E67" s="12"/>
      <c r="F67" s="12"/>
      <c r="G67" s="12"/>
      <c r="H67" s="13"/>
      <c r="I67" s="12"/>
    </row>
    <row r="68" customFormat="false" ht="15" hidden="false" customHeight="false" outlineLevel="0" collapsed="false">
      <c r="A68" s="13"/>
      <c r="B68" s="12"/>
      <c r="C68" s="12"/>
      <c r="D68" s="12"/>
      <c r="E68" s="12"/>
      <c r="F68" s="12"/>
      <c r="G68" s="12"/>
      <c r="H68" s="13"/>
      <c r="I68" s="12"/>
    </row>
    <row r="69" customFormat="false" ht="15" hidden="false" customHeight="false" outlineLevel="0" collapsed="false">
      <c r="A69" s="13"/>
      <c r="B69" s="12"/>
      <c r="C69" s="12"/>
      <c r="D69" s="12"/>
      <c r="E69" s="12"/>
      <c r="F69" s="12"/>
      <c r="G69" s="12"/>
      <c r="H69" s="13"/>
      <c r="I69" s="12"/>
    </row>
    <row r="70" customFormat="false" ht="15" hidden="false" customHeight="false" outlineLevel="0" collapsed="false">
      <c r="A70" s="13"/>
      <c r="B70" s="12"/>
      <c r="C70" s="12"/>
      <c r="D70" s="12"/>
      <c r="E70" s="12"/>
      <c r="F70" s="12"/>
      <c r="G70" s="12"/>
      <c r="H70" s="13"/>
      <c r="I70" s="12"/>
    </row>
    <row r="71" customFormat="false" ht="15" hidden="false" customHeight="false" outlineLevel="0" collapsed="false">
      <c r="A71" s="13"/>
      <c r="B71" s="12"/>
      <c r="C71" s="12"/>
      <c r="D71" s="12"/>
      <c r="E71" s="12"/>
      <c r="F71" s="12"/>
      <c r="G71" s="12"/>
      <c r="H71" s="13"/>
      <c r="I71" s="12"/>
    </row>
    <row r="72" customFormat="false" ht="15" hidden="false" customHeight="false" outlineLevel="0" collapsed="false">
      <c r="A72" s="13"/>
      <c r="B72" s="12"/>
      <c r="C72" s="12"/>
      <c r="D72" s="12"/>
      <c r="E72" s="12"/>
      <c r="F72" s="12"/>
      <c r="G72" s="12"/>
      <c r="H72" s="13"/>
      <c r="I72" s="12"/>
    </row>
    <row r="73" customFormat="false" ht="15" hidden="false" customHeight="false" outlineLevel="0" collapsed="false">
      <c r="A73" s="13"/>
      <c r="B73" s="12"/>
      <c r="C73" s="12"/>
      <c r="D73" s="12"/>
      <c r="E73" s="12"/>
      <c r="F73" s="12"/>
      <c r="G73" s="12"/>
      <c r="H73" s="13"/>
      <c r="I73" s="12"/>
    </row>
    <row r="74" customFormat="false" ht="15" hidden="false" customHeight="false" outlineLevel="0" collapsed="false">
      <c r="A74" s="13"/>
      <c r="B74" s="12"/>
      <c r="C74" s="12"/>
      <c r="D74" s="12"/>
      <c r="E74" s="12"/>
      <c r="F74" s="12"/>
      <c r="G74" s="12"/>
      <c r="H74" s="13"/>
      <c r="I74" s="12"/>
    </row>
    <row r="75" customFormat="false" ht="15" hidden="false" customHeight="false" outlineLevel="0" collapsed="false">
      <c r="A75" s="13"/>
      <c r="B75" s="12"/>
      <c r="C75" s="12"/>
      <c r="D75" s="12"/>
      <c r="E75" s="12"/>
      <c r="F75" s="12"/>
      <c r="G75" s="12"/>
      <c r="H75" s="13"/>
      <c r="I75" s="12"/>
    </row>
    <row r="76" customFormat="false" ht="15" hidden="false" customHeight="false" outlineLevel="0" collapsed="false">
      <c r="A76" s="13"/>
      <c r="B76" s="12"/>
      <c r="C76" s="12"/>
      <c r="D76" s="12"/>
      <c r="E76" s="12"/>
      <c r="F76" s="12"/>
      <c r="G76" s="12"/>
      <c r="H76" s="13"/>
      <c r="I76" s="12"/>
    </row>
    <row r="77" customFormat="false" ht="15" hidden="false" customHeight="false" outlineLevel="0" collapsed="false">
      <c r="A77" s="13"/>
      <c r="B77" s="12"/>
      <c r="C77" s="12"/>
      <c r="D77" s="12"/>
      <c r="E77" s="12"/>
      <c r="F77" s="12"/>
      <c r="G77" s="12"/>
      <c r="H77" s="13"/>
      <c r="I77" s="12"/>
    </row>
    <row r="78" customFormat="false" ht="15" hidden="false" customHeight="false" outlineLevel="0" collapsed="false">
      <c r="A78" s="13"/>
      <c r="B78" s="12"/>
      <c r="C78" s="12"/>
      <c r="D78" s="12"/>
      <c r="E78" s="12"/>
      <c r="F78" s="12"/>
      <c r="G78" s="12"/>
      <c r="H78" s="13"/>
      <c r="I78" s="12"/>
    </row>
    <row r="79" customFormat="false" ht="15" hidden="false" customHeight="false" outlineLevel="0" collapsed="false">
      <c r="A79" s="13"/>
      <c r="B79" s="12"/>
      <c r="C79" s="12"/>
      <c r="D79" s="12"/>
      <c r="E79" s="12"/>
      <c r="F79" s="12"/>
      <c r="G79" s="12"/>
      <c r="H79" s="13"/>
      <c r="I79" s="12"/>
    </row>
    <row r="80" customFormat="false" ht="15" hidden="false" customHeight="false" outlineLevel="0" collapsed="false">
      <c r="A80" s="13"/>
      <c r="B80" s="12"/>
      <c r="C80" s="12"/>
      <c r="D80" s="12"/>
      <c r="E80" s="12"/>
      <c r="F80" s="12"/>
      <c r="G80" s="12"/>
      <c r="H80" s="13"/>
      <c r="I80" s="12"/>
    </row>
    <row r="81" customFormat="false" ht="15" hidden="false" customHeight="false" outlineLevel="0" collapsed="false">
      <c r="A81" s="13"/>
      <c r="B81" s="12"/>
      <c r="C81" s="12"/>
      <c r="D81" s="12"/>
      <c r="E81" s="12"/>
      <c r="F81" s="12"/>
      <c r="G81" s="12"/>
      <c r="H81" s="13"/>
      <c r="I81" s="12"/>
    </row>
    <row r="82" customFormat="false" ht="15" hidden="false" customHeight="false" outlineLevel="0" collapsed="false">
      <c r="A82" s="13"/>
      <c r="B82" s="12"/>
      <c r="C82" s="12"/>
      <c r="D82" s="12"/>
      <c r="E82" s="12"/>
      <c r="F82" s="12"/>
      <c r="G82" s="12"/>
      <c r="H82" s="13"/>
      <c r="I82" s="12"/>
    </row>
    <row r="83" customFormat="false" ht="15" hidden="false" customHeight="false" outlineLevel="0" collapsed="false">
      <c r="A83" s="13"/>
      <c r="B83" s="12"/>
      <c r="C83" s="12"/>
      <c r="D83" s="12"/>
      <c r="E83" s="12"/>
      <c r="F83" s="12"/>
      <c r="G83" s="12"/>
      <c r="H83" s="13"/>
      <c r="I83" s="12"/>
    </row>
    <row r="84" customFormat="false" ht="15" hidden="false" customHeight="false" outlineLevel="0" collapsed="false">
      <c r="A84" s="13"/>
      <c r="B84" s="12"/>
      <c r="C84" s="12"/>
      <c r="D84" s="12"/>
      <c r="E84" s="12"/>
      <c r="F84" s="12"/>
      <c r="G84" s="12"/>
      <c r="H84" s="13"/>
      <c r="I84" s="12"/>
    </row>
    <row r="85" customFormat="false" ht="15" hidden="false" customHeight="false" outlineLevel="0" collapsed="false">
      <c r="A85" s="13"/>
      <c r="B85" s="12"/>
      <c r="C85" s="12"/>
      <c r="D85" s="12"/>
      <c r="E85" s="12"/>
      <c r="F85" s="12"/>
      <c r="G85" s="12"/>
      <c r="H85" s="13"/>
      <c r="I85" s="12"/>
    </row>
    <row r="86" customFormat="false" ht="15" hidden="false" customHeight="false" outlineLevel="0" collapsed="false">
      <c r="A86" s="13"/>
      <c r="B86" s="12"/>
      <c r="C86" s="12"/>
      <c r="D86" s="12"/>
      <c r="E86" s="12"/>
      <c r="F86" s="12"/>
      <c r="G86" s="12"/>
      <c r="H86" s="13"/>
      <c r="I86" s="12"/>
    </row>
    <row r="87" customFormat="false" ht="15" hidden="false" customHeight="false" outlineLevel="0" collapsed="false">
      <c r="A87" s="13"/>
      <c r="B87" s="12"/>
      <c r="C87" s="12"/>
      <c r="D87" s="12"/>
      <c r="E87" s="12"/>
      <c r="F87" s="12"/>
      <c r="G87" s="12"/>
      <c r="H87" s="13"/>
      <c r="I87" s="12"/>
    </row>
    <row r="88" customFormat="false" ht="15" hidden="false" customHeight="false" outlineLevel="0" collapsed="false">
      <c r="A88" s="13"/>
      <c r="B88" s="12"/>
      <c r="C88" s="12"/>
      <c r="D88" s="12"/>
      <c r="E88" s="12"/>
      <c r="F88" s="12"/>
      <c r="G88" s="12"/>
      <c r="H88" s="13"/>
      <c r="I88" s="12"/>
    </row>
    <row r="89" customFormat="false" ht="15" hidden="false" customHeight="false" outlineLevel="0" collapsed="false">
      <c r="A89" s="13"/>
      <c r="B89" s="12"/>
      <c r="C89" s="12"/>
      <c r="D89" s="12"/>
      <c r="E89" s="12"/>
      <c r="F89" s="12"/>
      <c r="G89" s="12"/>
      <c r="H89" s="13"/>
      <c r="I89" s="12"/>
    </row>
    <row r="90" customFormat="false" ht="15" hidden="false" customHeight="false" outlineLevel="0" collapsed="false">
      <c r="A90" s="13"/>
      <c r="B90" s="12"/>
      <c r="C90" s="12"/>
      <c r="D90" s="12"/>
      <c r="E90" s="12"/>
      <c r="F90" s="12"/>
      <c r="G90" s="12"/>
      <c r="H90" s="13"/>
      <c r="I90" s="12"/>
    </row>
    <row r="91" customFormat="false" ht="15" hidden="false" customHeight="false" outlineLevel="0" collapsed="false">
      <c r="A91" s="13"/>
      <c r="B91" s="12"/>
      <c r="C91" s="12"/>
      <c r="D91" s="12"/>
      <c r="E91" s="12"/>
      <c r="F91" s="12"/>
      <c r="G91" s="12"/>
      <c r="H91" s="13"/>
      <c r="I91" s="12"/>
    </row>
    <row r="92" customFormat="false" ht="15" hidden="false" customHeight="false" outlineLevel="0" collapsed="false">
      <c r="A92" s="13"/>
      <c r="B92" s="12"/>
      <c r="C92" s="12"/>
      <c r="D92" s="12"/>
      <c r="E92" s="12"/>
      <c r="F92" s="12"/>
      <c r="G92" s="12"/>
      <c r="H92" s="13"/>
      <c r="I92" s="12"/>
    </row>
    <row r="93" customFormat="false" ht="15" hidden="false" customHeight="false" outlineLevel="0" collapsed="false">
      <c r="A93" s="13"/>
      <c r="B93" s="12"/>
      <c r="C93" s="12"/>
      <c r="D93" s="12"/>
      <c r="E93" s="12"/>
      <c r="F93" s="12"/>
      <c r="G93" s="12"/>
      <c r="H93" s="13"/>
      <c r="I93" s="12"/>
    </row>
    <row r="94" customFormat="false" ht="15" hidden="false" customHeight="false" outlineLevel="0" collapsed="false">
      <c r="A94" s="13"/>
      <c r="B94" s="12"/>
      <c r="C94" s="12"/>
      <c r="D94" s="12"/>
      <c r="E94" s="12"/>
      <c r="F94" s="12"/>
      <c r="G94" s="12"/>
      <c r="H94" s="13"/>
      <c r="I94" s="12"/>
    </row>
    <row r="95" customFormat="false" ht="15" hidden="false" customHeight="false" outlineLevel="0" collapsed="false">
      <c r="A95" s="13"/>
      <c r="B95" s="12"/>
      <c r="C95" s="12"/>
      <c r="D95" s="12"/>
      <c r="E95" s="12"/>
      <c r="F95" s="12"/>
      <c r="G95" s="12"/>
      <c r="H95" s="13"/>
      <c r="I95" s="12"/>
    </row>
    <row r="96" customFormat="false" ht="15" hidden="false" customHeight="false" outlineLevel="0" collapsed="false">
      <c r="A96" s="13"/>
      <c r="B96" s="12"/>
      <c r="C96" s="12"/>
      <c r="D96" s="12"/>
      <c r="E96" s="12"/>
      <c r="F96" s="12"/>
      <c r="G96" s="12"/>
      <c r="H96" s="13"/>
      <c r="I96" s="12"/>
    </row>
    <row r="97" customFormat="false" ht="15" hidden="false" customHeight="false" outlineLevel="0" collapsed="false">
      <c r="A97" s="13"/>
      <c r="B97" s="12"/>
      <c r="C97" s="12"/>
      <c r="D97" s="12"/>
      <c r="E97" s="12"/>
      <c r="F97" s="12"/>
      <c r="G97" s="12"/>
      <c r="H97" s="13"/>
      <c r="I97" s="12"/>
    </row>
    <row r="98" customFormat="false" ht="15" hidden="false" customHeight="false" outlineLevel="0" collapsed="false">
      <c r="A98" s="13"/>
      <c r="B98" s="12"/>
      <c r="C98" s="12"/>
      <c r="D98" s="12"/>
      <c r="E98" s="12"/>
      <c r="F98" s="12"/>
      <c r="G98" s="12"/>
      <c r="H98" s="13"/>
      <c r="I98" s="12"/>
    </row>
    <row r="99" customFormat="false" ht="15" hidden="false" customHeight="false" outlineLevel="0" collapsed="false">
      <c r="A99" s="13"/>
      <c r="B99" s="12"/>
      <c r="C99" s="12"/>
      <c r="D99" s="12"/>
      <c r="E99" s="12"/>
      <c r="F99" s="12"/>
      <c r="G99" s="12"/>
      <c r="H99" s="13"/>
      <c r="I99" s="12"/>
    </row>
    <row r="100" customFormat="false" ht="15" hidden="false" customHeight="false" outlineLevel="0" collapsed="false">
      <c r="A100" s="13"/>
      <c r="B100" s="12"/>
      <c r="C100" s="12"/>
      <c r="D100" s="12"/>
      <c r="E100" s="12"/>
      <c r="F100" s="12"/>
      <c r="G100" s="12"/>
      <c r="H100" s="13"/>
      <c r="I100" s="12"/>
    </row>
    <row r="101" customFormat="false" ht="15" hidden="false" customHeight="false" outlineLevel="0" collapsed="false">
      <c r="A101" s="13"/>
      <c r="B101" s="12"/>
      <c r="C101" s="12"/>
      <c r="D101" s="12"/>
      <c r="E101" s="12"/>
      <c r="F101" s="12"/>
      <c r="G101" s="12"/>
      <c r="H101" s="13"/>
      <c r="I101" s="12"/>
    </row>
    <row r="102" customFormat="false" ht="15" hidden="false" customHeight="false" outlineLevel="0" collapsed="false">
      <c r="A102" s="13"/>
      <c r="B102" s="12"/>
      <c r="C102" s="12"/>
      <c r="D102" s="12"/>
      <c r="E102" s="12"/>
      <c r="F102" s="12"/>
      <c r="G102" s="12"/>
      <c r="H102" s="13"/>
      <c r="I102" s="12"/>
    </row>
    <row r="103" customFormat="false" ht="15" hidden="false" customHeight="false" outlineLevel="0" collapsed="false">
      <c r="A103" s="13"/>
      <c r="B103" s="12"/>
      <c r="C103" s="12"/>
      <c r="D103" s="12"/>
      <c r="E103" s="12"/>
      <c r="F103" s="12"/>
      <c r="G103" s="12"/>
      <c r="H103" s="13"/>
      <c r="I103" s="12"/>
    </row>
    <row r="104" customFormat="false" ht="15" hidden="false" customHeight="false" outlineLevel="0" collapsed="false">
      <c r="A104" s="13"/>
      <c r="B104" s="12"/>
      <c r="C104" s="12"/>
      <c r="D104" s="12"/>
      <c r="E104" s="12"/>
      <c r="F104" s="12"/>
      <c r="G104" s="12"/>
      <c r="H104" s="13"/>
      <c r="I104" s="12"/>
    </row>
    <row r="105" customFormat="false" ht="15" hidden="false" customHeight="false" outlineLevel="0" collapsed="false">
      <c r="A105" s="13"/>
      <c r="B105" s="12"/>
      <c r="C105" s="12"/>
      <c r="D105" s="12"/>
      <c r="E105" s="12"/>
      <c r="F105" s="12"/>
      <c r="G105" s="12"/>
      <c r="H105" s="13"/>
      <c r="I105" s="12"/>
    </row>
    <row r="106" customFormat="false" ht="15" hidden="false" customHeight="false" outlineLevel="0" collapsed="false">
      <c r="A106" s="13"/>
      <c r="B106" s="12"/>
      <c r="C106" s="12"/>
      <c r="D106" s="12"/>
      <c r="E106" s="12"/>
      <c r="F106" s="12"/>
      <c r="G106" s="12"/>
      <c r="H106" s="13"/>
      <c r="I106" s="12"/>
    </row>
    <row r="107" customFormat="false" ht="15" hidden="false" customHeight="false" outlineLevel="0" collapsed="false">
      <c r="A107" s="13"/>
      <c r="B107" s="12"/>
      <c r="C107" s="12"/>
      <c r="D107" s="12"/>
      <c r="E107" s="12"/>
      <c r="F107" s="12"/>
      <c r="G107" s="12"/>
      <c r="H107" s="13"/>
      <c r="I107" s="12"/>
    </row>
    <row r="108" customFormat="false" ht="15" hidden="false" customHeight="false" outlineLevel="0" collapsed="false">
      <c r="A108" s="13"/>
      <c r="B108" s="12"/>
      <c r="C108" s="12"/>
      <c r="D108" s="12"/>
      <c r="E108" s="12"/>
      <c r="F108" s="12"/>
      <c r="G108" s="12"/>
      <c r="H108" s="13"/>
      <c r="I108" s="12"/>
    </row>
    <row r="109" customFormat="false" ht="15" hidden="false" customHeight="false" outlineLevel="0" collapsed="false">
      <c r="A109" s="13"/>
      <c r="B109" s="12"/>
      <c r="C109" s="12"/>
      <c r="D109" s="12"/>
      <c r="E109" s="12"/>
      <c r="F109" s="12"/>
      <c r="G109" s="12"/>
      <c r="H109" s="13"/>
      <c r="I109" s="12"/>
    </row>
    <row r="110" customFormat="false" ht="15" hidden="false" customHeight="false" outlineLevel="0" collapsed="false">
      <c r="A110" s="13"/>
      <c r="B110" s="12"/>
      <c r="C110" s="12"/>
      <c r="D110" s="12"/>
      <c r="E110" s="12"/>
      <c r="F110" s="12"/>
      <c r="G110" s="12"/>
      <c r="H110" s="13"/>
      <c r="I110" s="12"/>
    </row>
    <row r="111" customFormat="false" ht="15" hidden="false" customHeight="false" outlineLevel="0" collapsed="false">
      <c r="A111" s="13"/>
      <c r="B111" s="12"/>
      <c r="C111" s="12"/>
      <c r="D111" s="12"/>
      <c r="E111" s="12"/>
      <c r="F111" s="12"/>
      <c r="G111" s="12"/>
      <c r="H111" s="13"/>
      <c r="I111" s="12"/>
    </row>
    <row r="112" customFormat="false" ht="15" hidden="false" customHeight="false" outlineLevel="0" collapsed="false">
      <c r="A112" s="13"/>
      <c r="B112" s="12"/>
      <c r="C112" s="12"/>
      <c r="D112" s="12"/>
      <c r="E112" s="12"/>
      <c r="F112" s="12"/>
      <c r="G112" s="12"/>
      <c r="H112" s="13"/>
      <c r="I112" s="12"/>
    </row>
    <row r="113" customFormat="false" ht="15" hidden="false" customHeight="false" outlineLevel="0" collapsed="false">
      <c r="A113" s="13"/>
      <c r="B113" s="12"/>
      <c r="C113" s="12"/>
      <c r="D113" s="12"/>
      <c r="E113" s="12"/>
      <c r="F113" s="12"/>
      <c r="G113" s="12"/>
      <c r="H113" s="13"/>
      <c r="I113" s="12"/>
    </row>
    <row r="114" customFormat="false" ht="15" hidden="false" customHeight="false" outlineLevel="0" collapsed="false">
      <c r="A114" s="13"/>
      <c r="B114" s="12"/>
      <c r="C114" s="12"/>
      <c r="D114" s="12"/>
      <c r="E114" s="12"/>
      <c r="F114" s="12"/>
      <c r="G114" s="12"/>
      <c r="H114" s="13"/>
      <c r="I114" s="12"/>
    </row>
    <row r="115" customFormat="false" ht="15" hidden="false" customHeight="false" outlineLevel="0" collapsed="false">
      <c r="A115" s="13"/>
      <c r="B115" s="12"/>
      <c r="C115" s="12"/>
      <c r="D115" s="12"/>
      <c r="E115" s="12"/>
      <c r="F115" s="12"/>
      <c r="G115" s="12"/>
      <c r="H115" s="13"/>
      <c r="I115" s="12"/>
    </row>
    <row r="116" customFormat="false" ht="15" hidden="false" customHeight="false" outlineLevel="0" collapsed="false">
      <c r="A116" s="13"/>
      <c r="B116" s="12"/>
      <c r="C116" s="12"/>
      <c r="D116" s="12"/>
      <c r="E116" s="12"/>
      <c r="F116" s="12"/>
      <c r="G116" s="12"/>
      <c r="H116" s="13"/>
      <c r="I116" s="12"/>
    </row>
    <row r="117" customFormat="false" ht="15" hidden="false" customHeight="false" outlineLevel="0" collapsed="false">
      <c r="A117" s="13"/>
      <c r="B117" s="12"/>
      <c r="C117" s="12"/>
      <c r="D117" s="12"/>
      <c r="E117" s="12"/>
      <c r="F117" s="12"/>
      <c r="G117" s="12"/>
      <c r="H117" s="13"/>
      <c r="I117" s="12"/>
    </row>
    <row r="118" customFormat="false" ht="15" hidden="false" customHeight="false" outlineLevel="0" collapsed="false">
      <c r="A118" s="13"/>
      <c r="B118" s="12"/>
      <c r="C118" s="12"/>
      <c r="D118" s="12"/>
      <c r="E118" s="12"/>
      <c r="F118" s="12"/>
      <c r="G118" s="12"/>
      <c r="H118" s="13"/>
      <c r="I118" s="12"/>
    </row>
    <row r="119" customFormat="false" ht="15" hidden="false" customHeight="false" outlineLevel="0" collapsed="false">
      <c r="A119" s="13"/>
      <c r="B119" s="12"/>
      <c r="C119" s="12"/>
      <c r="D119" s="12"/>
      <c r="E119" s="12"/>
      <c r="F119" s="12"/>
      <c r="G119" s="12"/>
      <c r="H119" s="13"/>
      <c r="I119" s="12"/>
    </row>
    <row r="120" customFormat="false" ht="15" hidden="false" customHeight="false" outlineLevel="0" collapsed="false">
      <c r="A120" s="13"/>
      <c r="B120" s="12"/>
      <c r="C120" s="12"/>
      <c r="D120" s="12"/>
      <c r="E120" s="12"/>
      <c r="F120" s="12"/>
      <c r="G120" s="12"/>
      <c r="H120" s="13"/>
      <c r="I120" s="12"/>
    </row>
    <row r="121" customFormat="false" ht="15" hidden="false" customHeight="false" outlineLevel="0" collapsed="false">
      <c r="A121" s="13"/>
      <c r="B121" s="12"/>
      <c r="C121" s="12"/>
      <c r="D121" s="12"/>
      <c r="E121" s="12"/>
      <c r="F121" s="12"/>
      <c r="G121" s="12"/>
      <c r="H121" s="13"/>
      <c r="I121" s="12"/>
    </row>
    <row r="122" customFormat="false" ht="15" hidden="false" customHeight="false" outlineLevel="0" collapsed="false">
      <c r="A122" s="13"/>
      <c r="B122" s="12"/>
      <c r="C122" s="12"/>
      <c r="D122" s="12"/>
      <c r="E122" s="12"/>
      <c r="F122" s="12"/>
      <c r="G122" s="12"/>
      <c r="H122" s="13"/>
      <c r="I122" s="12"/>
    </row>
    <row r="123" customFormat="false" ht="15" hidden="false" customHeight="false" outlineLevel="0" collapsed="false">
      <c r="A123" s="13"/>
      <c r="B123" s="12"/>
      <c r="C123" s="12"/>
      <c r="D123" s="12"/>
      <c r="E123" s="12"/>
      <c r="F123" s="12"/>
      <c r="G123" s="12"/>
      <c r="H123" s="13"/>
      <c r="I123" s="12"/>
    </row>
    <row r="124" customFormat="false" ht="15" hidden="false" customHeight="false" outlineLevel="0" collapsed="false">
      <c r="A124" s="13"/>
      <c r="B124" s="12"/>
      <c r="C124" s="12"/>
      <c r="D124" s="12"/>
      <c r="E124" s="12"/>
      <c r="F124" s="12"/>
      <c r="G124" s="12"/>
      <c r="H124" s="13"/>
      <c r="I124" s="12"/>
    </row>
    <row r="125" customFormat="false" ht="15" hidden="false" customHeight="false" outlineLevel="0" collapsed="false">
      <c r="A125" s="13"/>
      <c r="B125" s="12"/>
      <c r="C125" s="12"/>
      <c r="D125" s="12"/>
      <c r="E125" s="12"/>
      <c r="F125" s="12"/>
      <c r="G125" s="12"/>
      <c r="H125" s="13"/>
      <c r="I125" s="12"/>
    </row>
    <row r="126" customFormat="false" ht="15" hidden="false" customHeight="false" outlineLevel="0" collapsed="false">
      <c r="A126" s="13"/>
      <c r="B126" s="12"/>
      <c r="C126" s="12"/>
      <c r="D126" s="12"/>
      <c r="E126" s="12"/>
      <c r="F126" s="12"/>
      <c r="G126" s="12"/>
      <c r="H126" s="13"/>
      <c r="I126" s="12"/>
    </row>
    <row r="127" customFormat="false" ht="15" hidden="false" customHeight="false" outlineLevel="0" collapsed="false">
      <c r="A127" s="13"/>
      <c r="B127" s="12"/>
      <c r="C127" s="12"/>
      <c r="D127" s="12"/>
      <c r="E127" s="12"/>
      <c r="F127" s="12"/>
      <c r="G127" s="12"/>
      <c r="H127" s="13"/>
      <c r="I127" s="12"/>
    </row>
    <row r="128" customFormat="false" ht="15" hidden="false" customHeight="false" outlineLevel="0" collapsed="false">
      <c r="A128" s="13"/>
      <c r="B128" s="12"/>
      <c r="C128" s="12"/>
      <c r="D128" s="12"/>
      <c r="E128" s="12"/>
      <c r="F128" s="12"/>
      <c r="G128" s="12"/>
      <c r="H128" s="13"/>
      <c r="I128" s="12"/>
    </row>
    <row r="129" customFormat="false" ht="15" hidden="false" customHeight="false" outlineLevel="0" collapsed="false">
      <c r="A129" s="13"/>
      <c r="B129" s="12"/>
      <c r="C129" s="12"/>
      <c r="D129" s="12"/>
      <c r="E129" s="12"/>
      <c r="F129" s="12"/>
      <c r="G129" s="12"/>
      <c r="H129" s="13"/>
      <c r="I129" s="12"/>
    </row>
    <row r="130" customFormat="false" ht="15" hidden="false" customHeight="false" outlineLevel="0" collapsed="false">
      <c r="A130" s="13"/>
      <c r="B130" s="12"/>
      <c r="C130" s="12"/>
      <c r="D130" s="12"/>
      <c r="E130" s="12"/>
      <c r="F130" s="12"/>
      <c r="G130" s="12"/>
      <c r="H130" s="13"/>
      <c r="I130" s="12"/>
    </row>
    <row r="131" customFormat="false" ht="15" hidden="false" customHeight="false" outlineLevel="0" collapsed="false">
      <c r="A131" s="13"/>
      <c r="B131" s="12"/>
      <c r="C131" s="12"/>
      <c r="D131" s="12"/>
      <c r="E131" s="12"/>
      <c r="F131" s="12"/>
      <c r="G131" s="12"/>
      <c r="H131" s="13"/>
      <c r="I131" s="12"/>
    </row>
    <row r="132" customFormat="false" ht="15" hidden="false" customHeight="false" outlineLevel="0" collapsed="false">
      <c r="A132" s="13"/>
      <c r="B132" s="12"/>
      <c r="C132" s="12"/>
      <c r="D132" s="12"/>
      <c r="E132" s="12"/>
      <c r="F132" s="12"/>
      <c r="G132" s="12"/>
      <c r="H132" s="13"/>
      <c r="I132" s="12"/>
    </row>
    <row r="133" customFormat="false" ht="15" hidden="false" customHeight="false" outlineLevel="0" collapsed="false">
      <c r="A133" s="13"/>
      <c r="B133" s="12"/>
      <c r="C133" s="12"/>
      <c r="D133" s="12"/>
      <c r="E133" s="12"/>
      <c r="F133" s="12"/>
      <c r="G133" s="12"/>
      <c r="H133" s="13"/>
      <c r="I133" s="12"/>
    </row>
    <row r="134" customFormat="false" ht="15" hidden="false" customHeight="false" outlineLevel="0" collapsed="false">
      <c r="A134" s="13"/>
      <c r="B134" s="12"/>
      <c r="C134" s="12"/>
      <c r="D134" s="12"/>
      <c r="E134" s="12"/>
      <c r="F134" s="12"/>
      <c r="G134" s="12"/>
      <c r="H134" s="13"/>
      <c r="I134" s="12"/>
    </row>
    <row r="135" customFormat="false" ht="15" hidden="false" customHeight="false" outlineLevel="0" collapsed="false">
      <c r="A135" s="13"/>
      <c r="B135" s="12"/>
      <c r="C135" s="12"/>
      <c r="D135" s="12"/>
      <c r="E135" s="12"/>
      <c r="F135" s="12"/>
      <c r="G135" s="12"/>
      <c r="H135" s="13"/>
      <c r="I135" s="12"/>
    </row>
    <row r="136" customFormat="false" ht="15" hidden="false" customHeight="false" outlineLevel="0" collapsed="false">
      <c r="A136" s="13"/>
      <c r="B136" s="12"/>
      <c r="C136" s="12"/>
      <c r="D136" s="12"/>
      <c r="E136" s="12"/>
      <c r="F136" s="12"/>
      <c r="G136" s="12"/>
      <c r="H136" s="13"/>
      <c r="I136" s="12"/>
    </row>
    <row r="137" customFormat="false" ht="15" hidden="false" customHeight="false" outlineLevel="0" collapsed="false">
      <c r="A137" s="13"/>
      <c r="B137" s="12"/>
      <c r="C137" s="12"/>
      <c r="D137" s="12"/>
      <c r="E137" s="12"/>
      <c r="F137" s="12"/>
      <c r="G137" s="12"/>
      <c r="H137" s="13"/>
      <c r="I137" s="12"/>
    </row>
    <row r="138" customFormat="false" ht="15" hidden="false" customHeight="false" outlineLevel="0" collapsed="false">
      <c r="A138" s="13"/>
      <c r="B138" s="12"/>
      <c r="C138" s="12"/>
      <c r="D138" s="12"/>
      <c r="E138" s="12"/>
      <c r="F138" s="12"/>
      <c r="G138" s="12"/>
      <c r="H138" s="13"/>
      <c r="I138" s="12"/>
    </row>
    <row r="139" customFormat="false" ht="15" hidden="false" customHeight="false" outlineLevel="0" collapsed="false">
      <c r="A139" s="13"/>
      <c r="B139" s="12"/>
      <c r="C139" s="12"/>
      <c r="D139" s="12"/>
      <c r="E139" s="12"/>
      <c r="F139" s="12"/>
      <c r="G139" s="12"/>
      <c r="H139" s="13"/>
      <c r="I139" s="12"/>
    </row>
    <row r="140" customFormat="false" ht="15" hidden="false" customHeight="false" outlineLevel="0" collapsed="false">
      <c r="A140" s="13"/>
      <c r="B140" s="12"/>
      <c r="C140" s="12"/>
      <c r="D140" s="12"/>
      <c r="E140" s="12"/>
      <c r="F140" s="12"/>
      <c r="G140" s="12"/>
      <c r="H140" s="13"/>
      <c r="I140" s="12"/>
    </row>
    <row r="141" customFormat="false" ht="15" hidden="false" customHeight="false" outlineLevel="0" collapsed="false">
      <c r="A141" s="13"/>
      <c r="B141" s="12"/>
      <c r="C141" s="12"/>
      <c r="D141" s="12"/>
      <c r="E141" s="12"/>
      <c r="F141" s="12"/>
      <c r="G141" s="12"/>
      <c r="H141" s="13"/>
      <c r="I141" s="12"/>
    </row>
    <row r="142" customFormat="false" ht="15" hidden="false" customHeight="false" outlineLevel="0" collapsed="false">
      <c r="A142" s="13"/>
      <c r="B142" s="12"/>
      <c r="C142" s="12"/>
      <c r="D142" s="12"/>
      <c r="E142" s="12"/>
      <c r="F142" s="12"/>
      <c r="G142" s="12"/>
      <c r="H142" s="13"/>
      <c r="I142" s="12"/>
    </row>
    <row r="143" customFormat="false" ht="15" hidden="false" customHeight="false" outlineLevel="0" collapsed="false">
      <c r="A143" s="13"/>
      <c r="B143" s="12"/>
      <c r="C143" s="12"/>
      <c r="D143" s="12"/>
      <c r="E143" s="12"/>
      <c r="F143" s="12"/>
      <c r="G143" s="12"/>
      <c r="H143" s="13"/>
      <c r="I143" s="12"/>
    </row>
    <row r="144" customFormat="false" ht="15" hidden="false" customHeight="false" outlineLevel="0" collapsed="false">
      <c r="A144" s="13"/>
      <c r="B144" s="12"/>
      <c r="C144" s="12"/>
      <c r="D144" s="12"/>
      <c r="E144" s="12"/>
      <c r="F144" s="12"/>
      <c r="G144" s="12"/>
      <c r="H144" s="13"/>
      <c r="I144" s="12"/>
    </row>
    <row r="145" customFormat="false" ht="15" hidden="false" customHeight="false" outlineLevel="0" collapsed="false">
      <c r="A145" s="13"/>
      <c r="B145" s="12"/>
      <c r="C145" s="12"/>
      <c r="D145" s="12"/>
      <c r="E145" s="12"/>
      <c r="F145" s="12"/>
      <c r="G145" s="12"/>
      <c r="H145" s="13"/>
      <c r="I145" s="12"/>
    </row>
    <row r="146" customFormat="false" ht="15" hidden="false" customHeight="false" outlineLevel="0" collapsed="false">
      <c r="A146" s="13"/>
      <c r="B146" s="12"/>
      <c r="C146" s="12"/>
      <c r="D146" s="12"/>
      <c r="E146" s="12"/>
      <c r="F146" s="12"/>
      <c r="G146" s="12"/>
      <c r="H146" s="13"/>
      <c r="I146" s="12"/>
    </row>
    <row r="147" customFormat="false" ht="15" hidden="false" customHeight="false" outlineLevel="0" collapsed="false">
      <c r="A147" s="13"/>
      <c r="B147" s="12"/>
      <c r="C147" s="12"/>
      <c r="D147" s="12"/>
      <c r="E147" s="12"/>
      <c r="F147" s="12"/>
      <c r="G147" s="12"/>
      <c r="H147" s="13"/>
      <c r="I147" s="12"/>
    </row>
    <row r="148" customFormat="false" ht="15" hidden="false" customHeight="false" outlineLevel="0" collapsed="false">
      <c r="A148" s="13"/>
      <c r="B148" s="12"/>
      <c r="C148" s="12"/>
      <c r="D148" s="12"/>
      <c r="E148" s="12"/>
      <c r="F148" s="12"/>
      <c r="G148" s="12"/>
      <c r="H148" s="13"/>
      <c r="I148" s="12"/>
    </row>
    <row r="149" customFormat="false" ht="15" hidden="false" customHeight="false" outlineLevel="0" collapsed="false">
      <c r="A149" s="13"/>
      <c r="B149" s="12"/>
      <c r="C149" s="12"/>
      <c r="D149" s="12"/>
      <c r="E149" s="12"/>
      <c r="F149" s="12"/>
      <c r="G149" s="12"/>
      <c r="H149" s="13"/>
      <c r="I149" s="12"/>
    </row>
    <row r="150" customFormat="false" ht="15" hidden="false" customHeight="false" outlineLevel="0" collapsed="false">
      <c r="A150" s="13"/>
      <c r="B150" s="12"/>
      <c r="C150" s="12"/>
      <c r="D150" s="12"/>
      <c r="E150" s="12"/>
      <c r="F150" s="12"/>
      <c r="G150" s="12"/>
      <c r="H150" s="13"/>
      <c r="I150" s="12"/>
    </row>
    <row r="151" customFormat="false" ht="15" hidden="false" customHeight="false" outlineLevel="0" collapsed="false">
      <c r="A151" s="13"/>
      <c r="B151" s="12"/>
      <c r="C151" s="12"/>
      <c r="D151" s="12"/>
      <c r="E151" s="12"/>
      <c r="F151" s="12"/>
      <c r="G151" s="12"/>
      <c r="H151" s="13"/>
      <c r="I151" s="12"/>
    </row>
    <row r="152" customFormat="false" ht="15" hidden="false" customHeight="false" outlineLevel="0" collapsed="false">
      <c r="A152" s="13"/>
      <c r="B152" s="12"/>
      <c r="C152" s="12"/>
      <c r="D152" s="12"/>
      <c r="E152" s="12"/>
      <c r="F152" s="12"/>
      <c r="G152" s="12"/>
      <c r="H152" s="13"/>
      <c r="I152" s="12"/>
    </row>
    <row r="153" customFormat="false" ht="15" hidden="false" customHeight="false" outlineLevel="0" collapsed="false">
      <c r="A153" s="13"/>
      <c r="B153" s="12"/>
      <c r="C153" s="12"/>
      <c r="D153" s="12"/>
      <c r="E153" s="12"/>
      <c r="F153" s="12"/>
      <c r="G153" s="12"/>
      <c r="H153" s="13"/>
      <c r="I153" s="12"/>
    </row>
    <row r="154" customFormat="false" ht="15" hidden="false" customHeight="false" outlineLevel="0" collapsed="false">
      <c r="A154" s="13"/>
      <c r="B154" s="12"/>
      <c r="C154" s="12"/>
      <c r="D154" s="12"/>
      <c r="E154" s="12"/>
      <c r="F154" s="12"/>
      <c r="G154" s="12"/>
      <c r="H154" s="13"/>
      <c r="I154" s="12"/>
    </row>
    <row r="155" customFormat="false" ht="15" hidden="false" customHeight="false" outlineLevel="0" collapsed="false">
      <c r="A155" s="13"/>
      <c r="B155" s="12"/>
      <c r="C155" s="12"/>
      <c r="D155" s="12"/>
      <c r="E155" s="12"/>
      <c r="F155" s="12"/>
      <c r="G155" s="12"/>
      <c r="H155" s="13"/>
      <c r="I155" s="12"/>
    </row>
    <row r="156" customFormat="false" ht="15" hidden="false" customHeight="false" outlineLevel="0" collapsed="false">
      <c r="A156" s="13"/>
      <c r="B156" s="12"/>
      <c r="C156" s="12"/>
      <c r="D156" s="12"/>
      <c r="E156" s="12"/>
      <c r="F156" s="12"/>
      <c r="G156" s="12"/>
      <c r="H156" s="13"/>
      <c r="I156" s="12"/>
    </row>
    <row r="157" customFormat="false" ht="15" hidden="false" customHeight="false" outlineLevel="0" collapsed="false">
      <c r="A157" s="13"/>
      <c r="B157" s="12"/>
      <c r="C157" s="12"/>
      <c r="D157" s="12"/>
      <c r="E157" s="12"/>
      <c r="F157" s="12"/>
      <c r="G157" s="12"/>
      <c r="H157" s="13"/>
      <c r="I157" s="12"/>
    </row>
    <row r="158" customFormat="false" ht="15" hidden="false" customHeight="false" outlineLevel="0" collapsed="false">
      <c r="A158" s="13"/>
      <c r="B158" s="12"/>
      <c r="C158" s="12"/>
      <c r="D158" s="12"/>
      <c r="E158" s="12"/>
      <c r="F158" s="12"/>
      <c r="G158" s="12"/>
      <c r="H158" s="13"/>
      <c r="I158" s="12"/>
    </row>
    <row r="159" customFormat="false" ht="15" hidden="false" customHeight="false" outlineLevel="0" collapsed="false">
      <c r="A159" s="13"/>
      <c r="B159" s="12"/>
      <c r="C159" s="12"/>
      <c r="D159" s="12"/>
      <c r="E159" s="12"/>
      <c r="F159" s="12"/>
      <c r="G159" s="12"/>
      <c r="H159" s="13"/>
      <c r="I159" s="12"/>
    </row>
    <row r="160" customFormat="false" ht="15" hidden="false" customHeight="false" outlineLevel="0" collapsed="false">
      <c r="A160" s="13"/>
      <c r="B160" s="12"/>
      <c r="C160" s="12"/>
      <c r="D160" s="12"/>
      <c r="E160" s="12"/>
      <c r="F160" s="12"/>
      <c r="G160" s="12"/>
      <c r="H160" s="13"/>
      <c r="I160" s="12"/>
    </row>
    <row r="161" customFormat="false" ht="15" hidden="false" customHeight="false" outlineLevel="0" collapsed="false">
      <c r="A161" s="13"/>
      <c r="B161" s="12"/>
      <c r="C161" s="12"/>
      <c r="D161" s="12"/>
      <c r="E161" s="12"/>
      <c r="F161" s="12"/>
      <c r="G161" s="12"/>
      <c r="H161" s="13"/>
      <c r="I161" s="12"/>
    </row>
    <row r="162" customFormat="false" ht="15" hidden="false" customHeight="false" outlineLevel="0" collapsed="false">
      <c r="A162" s="13"/>
      <c r="B162" s="12"/>
      <c r="C162" s="12"/>
      <c r="D162" s="12"/>
      <c r="E162" s="12"/>
      <c r="F162" s="12"/>
      <c r="G162" s="12"/>
      <c r="H162" s="13"/>
      <c r="I162" s="12"/>
    </row>
    <row r="163" customFormat="false" ht="15" hidden="false" customHeight="false" outlineLevel="0" collapsed="false">
      <c r="A163" s="13"/>
      <c r="B163" s="12"/>
      <c r="C163" s="12"/>
      <c r="D163" s="12"/>
      <c r="E163" s="12"/>
      <c r="F163" s="12"/>
      <c r="G163" s="12"/>
      <c r="H163" s="13"/>
      <c r="I163" s="12"/>
    </row>
    <row r="164" customFormat="false" ht="15" hidden="false" customHeight="false" outlineLevel="0" collapsed="false">
      <c r="A164" s="13"/>
      <c r="B164" s="12"/>
      <c r="C164" s="12"/>
      <c r="D164" s="12"/>
      <c r="E164" s="12"/>
      <c r="F164" s="12"/>
      <c r="G164" s="12"/>
      <c r="H164" s="13"/>
      <c r="I164" s="12"/>
    </row>
    <row r="165" customFormat="false" ht="15" hidden="false" customHeight="false" outlineLevel="0" collapsed="false">
      <c r="A165" s="13"/>
      <c r="B165" s="12"/>
      <c r="C165" s="12"/>
      <c r="D165" s="12"/>
      <c r="E165" s="12"/>
      <c r="F165" s="12"/>
      <c r="G165" s="12"/>
      <c r="H165" s="13"/>
      <c r="I165" s="12"/>
    </row>
    <row r="166" customFormat="false" ht="15" hidden="false" customHeight="false" outlineLevel="0" collapsed="false">
      <c r="A166" s="13"/>
      <c r="B166" s="12"/>
      <c r="C166" s="12"/>
      <c r="D166" s="12"/>
      <c r="E166" s="12"/>
      <c r="F166" s="12"/>
      <c r="G166" s="12"/>
      <c r="H166" s="13"/>
      <c r="I166" s="12"/>
    </row>
    <row r="167" customFormat="false" ht="15" hidden="false" customHeight="false" outlineLevel="0" collapsed="false">
      <c r="A167" s="13"/>
      <c r="B167" s="12"/>
      <c r="C167" s="12"/>
      <c r="D167" s="12"/>
      <c r="E167" s="12"/>
      <c r="F167" s="12"/>
      <c r="G167" s="12"/>
      <c r="H167" s="13"/>
      <c r="I167" s="12"/>
    </row>
    <row r="168" customFormat="false" ht="15" hidden="false" customHeight="false" outlineLevel="0" collapsed="false">
      <c r="A168" s="13"/>
      <c r="B168" s="12"/>
      <c r="C168" s="12"/>
      <c r="D168" s="12"/>
      <c r="E168" s="12"/>
      <c r="F168" s="12"/>
      <c r="G168" s="12"/>
      <c r="H168" s="13"/>
      <c r="I168" s="12"/>
    </row>
    <row r="169" customFormat="false" ht="15" hidden="false" customHeight="false" outlineLevel="0" collapsed="false">
      <c r="A169" s="13"/>
      <c r="B169" s="12"/>
      <c r="C169" s="12"/>
      <c r="D169" s="12"/>
      <c r="E169" s="12"/>
      <c r="F169" s="12"/>
      <c r="G169" s="12"/>
      <c r="H169" s="13"/>
      <c r="I169" s="12"/>
    </row>
    <row r="170" customFormat="false" ht="15" hidden="false" customHeight="false" outlineLevel="0" collapsed="false">
      <c r="A170" s="13"/>
      <c r="B170" s="12"/>
      <c r="C170" s="12"/>
      <c r="D170" s="12"/>
      <c r="E170" s="12"/>
      <c r="F170" s="12"/>
      <c r="G170" s="12"/>
      <c r="H170" s="13"/>
      <c r="I170" s="12"/>
    </row>
    <row r="171" customFormat="false" ht="15" hidden="false" customHeight="false" outlineLevel="0" collapsed="false">
      <c r="A171" s="13"/>
      <c r="B171" s="12"/>
      <c r="C171" s="12"/>
      <c r="D171" s="12"/>
      <c r="E171" s="12"/>
      <c r="F171" s="12"/>
      <c r="G171" s="12"/>
      <c r="H171" s="13"/>
      <c r="I171" s="12"/>
    </row>
    <row r="172" customFormat="false" ht="15" hidden="false" customHeight="false" outlineLevel="0" collapsed="false">
      <c r="A172" s="13"/>
      <c r="B172" s="12"/>
      <c r="C172" s="12"/>
      <c r="D172" s="12"/>
      <c r="E172" s="12"/>
      <c r="F172" s="12"/>
      <c r="G172" s="12"/>
      <c r="H172" s="13"/>
      <c r="I172" s="12"/>
    </row>
    <row r="173" customFormat="false" ht="15" hidden="false" customHeight="false" outlineLevel="0" collapsed="false">
      <c r="A173" s="13"/>
      <c r="B173" s="12"/>
      <c r="C173" s="12"/>
      <c r="D173" s="12"/>
      <c r="E173" s="12"/>
      <c r="F173" s="12"/>
      <c r="G173" s="12"/>
      <c r="H173" s="13"/>
      <c r="I173" s="12"/>
    </row>
    <row r="174" customFormat="false" ht="15" hidden="false" customHeight="false" outlineLevel="0" collapsed="false">
      <c r="A174" s="13"/>
      <c r="B174" s="12"/>
      <c r="C174" s="12"/>
      <c r="D174" s="12"/>
      <c r="E174" s="12"/>
      <c r="F174" s="12"/>
      <c r="G174" s="12"/>
      <c r="H174" s="13"/>
      <c r="I174" s="12"/>
    </row>
    <row r="175" customFormat="false" ht="15" hidden="false" customHeight="false" outlineLevel="0" collapsed="false">
      <c r="A175" s="13"/>
      <c r="B175" s="12"/>
      <c r="C175" s="12"/>
      <c r="D175" s="12"/>
      <c r="E175" s="12"/>
      <c r="F175" s="12"/>
      <c r="G175" s="12"/>
      <c r="H175" s="13"/>
      <c r="I175" s="12"/>
    </row>
    <row r="176" customFormat="false" ht="15" hidden="false" customHeight="false" outlineLevel="0" collapsed="false">
      <c r="A176" s="13"/>
      <c r="B176" s="12"/>
      <c r="C176" s="12"/>
      <c r="D176" s="12"/>
      <c r="E176" s="12"/>
      <c r="F176" s="12"/>
      <c r="G176" s="12"/>
      <c r="H176" s="13"/>
      <c r="I176" s="12"/>
    </row>
    <row r="177" customFormat="false" ht="15" hidden="false" customHeight="false" outlineLevel="0" collapsed="false">
      <c r="A177" s="13"/>
      <c r="B177" s="12"/>
      <c r="C177" s="12"/>
      <c r="D177" s="12"/>
      <c r="E177" s="12"/>
      <c r="F177" s="12"/>
      <c r="G177" s="12"/>
      <c r="H177" s="13"/>
      <c r="I177" s="12"/>
    </row>
    <row r="178" customFormat="false" ht="15" hidden="false" customHeight="false" outlineLevel="0" collapsed="false">
      <c r="A178" s="13"/>
      <c r="B178" s="12"/>
      <c r="C178" s="12"/>
      <c r="D178" s="12"/>
      <c r="E178" s="12"/>
      <c r="F178" s="12"/>
      <c r="G178" s="12"/>
      <c r="H178" s="13"/>
      <c r="I178" s="12"/>
    </row>
    <row r="179" customFormat="false" ht="15" hidden="false" customHeight="false" outlineLevel="0" collapsed="false">
      <c r="A179" s="13"/>
      <c r="B179" s="12"/>
      <c r="C179" s="12"/>
      <c r="D179" s="12"/>
      <c r="E179" s="12"/>
      <c r="F179" s="12"/>
      <c r="G179" s="12"/>
      <c r="H179" s="13"/>
      <c r="I179" s="12"/>
    </row>
    <row r="180" customFormat="false" ht="15" hidden="false" customHeight="false" outlineLevel="0" collapsed="false">
      <c r="A180" s="13"/>
      <c r="B180" s="12"/>
      <c r="C180" s="12"/>
      <c r="D180" s="12"/>
      <c r="E180" s="12"/>
      <c r="F180" s="12"/>
      <c r="G180" s="12"/>
      <c r="H180" s="13"/>
      <c r="I180" s="12"/>
    </row>
    <row r="181" customFormat="false" ht="15" hidden="false" customHeight="false" outlineLevel="0" collapsed="false">
      <c r="A181" s="13"/>
      <c r="B181" s="12"/>
      <c r="C181" s="12"/>
      <c r="D181" s="12"/>
      <c r="E181" s="12"/>
      <c r="F181" s="12"/>
      <c r="G181" s="12"/>
      <c r="H181" s="13"/>
      <c r="I181" s="12"/>
    </row>
    <row r="182" customFormat="false" ht="15" hidden="false" customHeight="false" outlineLevel="0" collapsed="false">
      <c r="A182" s="13"/>
      <c r="B182" s="12"/>
      <c r="C182" s="12"/>
      <c r="D182" s="12"/>
      <c r="E182" s="12"/>
      <c r="F182" s="12"/>
      <c r="G182" s="12"/>
      <c r="H182" s="13"/>
      <c r="I182" s="12"/>
    </row>
    <row r="183" customFormat="false" ht="15" hidden="false" customHeight="false" outlineLevel="0" collapsed="false">
      <c r="A183" s="13"/>
      <c r="B183" s="12"/>
      <c r="C183" s="12"/>
      <c r="D183" s="12"/>
      <c r="E183" s="12"/>
      <c r="F183" s="12"/>
      <c r="G183" s="12"/>
      <c r="H183" s="13"/>
      <c r="I183" s="12"/>
    </row>
    <row r="184" customFormat="false" ht="15" hidden="false" customHeight="false" outlineLevel="0" collapsed="false">
      <c r="A184" s="13"/>
      <c r="B184" s="12"/>
      <c r="C184" s="12"/>
      <c r="D184" s="12"/>
      <c r="E184" s="12"/>
      <c r="F184" s="12"/>
      <c r="G184" s="12"/>
      <c r="H184" s="13"/>
      <c r="I184" s="12"/>
    </row>
    <row r="185" customFormat="false" ht="15" hidden="false" customHeight="false" outlineLevel="0" collapsed="false">
      <c r="A185" s="13"/>
      <c r="B185" s="12"/>
      <c r="C185" s="12"/>
      <c r="D185" s="12"/>
      <c r="E185" s="12"/>
      <c r="F185" s="12"/>
      <c r="G185" s="12"/>
      <c r="H185" s="13"/>
      <c r="I185" s="12"/>
    </row>
    <row r="186" customFormat="false" ht="15" hidden="false" customHeight="false" outlineLevel="0" collapsed="false">
      <c r="A186" s="13"/>
      <c r="B186" s="12"/>
      <c r="C186" s="12"/>
      <c r="D186" s="12"/>
      <c r="E186" s="12"/>
      <c r="F186" s="12"/>
      <c r="G186" s="12"/>
      <c r="H186" s="13"/>
      <c r="I186" s="12"/>
    </row>
    <row r="187" customFormat="false" ht="15" hidden="false" customHeight="false" outlineLevel="0" collapsed="false">
      <c r="A187" s="13"/>
      <c r="B187" s="12"/>
      <c r="C187" s="12"/>
      <c r="D187" s="12"/>
      <c r="E187" s="12"/>
      <c r="F187" s="12"/>
      <c r="G187" s="12"/>
      <c r="H187" s="13"/>
      <c r="I187" s="12"/>
    </row>
    <row r="188" customFormat="false" ht="15" hidden="false" customHeight="false" outlineLevel="0" collapsed="false">
      <c r="A188" s="13"/>
      <c r="B188" s="12"/>
      <c r="C188" s="12"/>
      <c r="D188" s="12"/>
      <c r="E188" s="12"/>
      <c r="F188" s="12"/>
      <c r="G188" s="12"/>
      <c r="H188" s="13"/>
      <c r="I188" s="12"/>
    </row>
    <row r="189" customFormat="false" ht="15" hidden="false" customHeight="false" outlineLevel="0" collapsed="false">
      <c r="A189" s="13"/>
      <c r="B189" s="12"/>
      <c r="C189" s="12"/>
      <c r="D189" s="12"/>
      <c r="E189" s="12"/>
      <c r="F189" s="12"/>
      <c r="G189" s="12"/>
      <c r="H189" s="13"/>
      <c r="I189" s="12"/>
    </row>
    <row r="190" customFormat="false" ht="15" hidden="false" customHeight="false" outlineLevel="0" collapsed="false">
      <c r="A190" s="13"/>
      <c r="B190" s="12"/>
      <c r="C190" s="12"/>
      <c r="D190" s="12"/>
      <c r="E190" s="12"/>
      <c r="F190" s="12"/>
      <c r="G190" s="12"/>
      <c r="H190" s="13"/>
      <c r="I190" s="12"/>
    </row>
    <row r="191" customFormat="false" ht="15" hidden="false" customHeight="false" outlineLevel="0" collapsed="false">
      <c r="A191" s="13"/>
      <c r="B191" s="12"/>
      <c r="C191" s="12"/>
      <c r="D191" s="12"/>
      <c r="E191" s="12"/>
      <c r="F191" s="12"/>
      <c r="G191" s="12"/>
      <c r="H191" s="13"/>
      <c r="I191" s="12"/>
    </row>
    <row r="192" customFormat="false" ht="15" hidden="false" customHeight="false" outlineLevel="0" collapsed="false">
      <c r="A192" s="13"/>
      <c r="B192" s="12"/>
      <c r="C192" s="12"/>
      <c r="D192" s="12"/>
      <c r="E192" s="12"/>
      <c r="F192" s="12"/>
      <c r="G192" s="12"/>
      <c r="H192" s="13"/>
      <c r="I192" s="12"/>
    </row>
    <row r="193" customFormat="false" ht="15" hidden="false" customHeight="false" outlineLevel="0" collapsed="false">
      <c r="A193" s="13"/>
      <c r="B193" s="12"/>
      <c r="C193" s="12"/>
      <c r="D193" s="12"/>
      <c r="E193" s="12"/>
      <c r="F193" s="12"/>
      <c r="G193" s="12"/>
      <c r="H193" s="13"/>
      <c r="I193" s="12"/>
    </row>
    <row r="194" customFormat="false" ht="15" hidden="false" customHeight="false" outlineLevel="0" collapsed="false">
      <c r="A194" s="13"/>
      <c r="B194" s="12"/>
      <c r="C194" s="12"/>
      <c r="D194" s="12"/>
      <c r="E194" s="12"/>
      <c r="F194" s="12"/>
      <c r="G194" s="12"/>
      <c r="H194" s="13"/>
      <c r="I194" s="12"/>
    </row>
    <row r="195" customFormat="false" ht="15" hidden="false" customHeight="false" outlineLevel="0" collapsed="false">
      <c r="A195" s="13"/>
      <c r="B195" s="12"/>
      <c r="C195" s="12"/>
      <c r="D195" s="12"/>
      <c r="E195" s="12"/>
      <c r="F195" s="12"/>
      <c r="G195" s="12"/>
      <c r="H195" s="13"/>
      <c r="I195" s="12"/>
    </row>
    <row r="196" customFormat="false" ht="15" hidden="false" customHeight="false" outlineLevel="0" collapsed="false">
      <c r="A196" s="13"/>
      <c r="B196" s="12"/>
      <c r="C196" s="12"/>
      <c r="D196" s="12"/>
      <c r="E196" s="12"/>
      <c r="F196" s="12"/>
      <c r="G196" s="12"/>
      <c r="H196" s="13"/>
      <c r="I196" s="12"/>
    </row>
    <row r="197" customFormat="false" ht="15" hidden="false" customHeight="false" outlineLevel="0" collapsed="false">
      <c r="A197" s="13"/>
      <c r="B197" s="12"/>
      <c r="C197" s="12"/>
      <c r="D197" s="12"/>
      <c r="E197" s="12"/>
      <c r="F197" s="12"/>
      <c r="G197" s="12"/>
      <c r="H197" s="13"/>
      <c r="I197" s="12"/>
    </row>
    <row r="198" customFormat="false" ht="15" hidden="false" customHeight="false" outlineLevel="0" collapsed="false">
      <c r="A198" s="13"/>
      <c r="B198" s="12"/>
      <c r="C198" s="12"/>
      <c r="D198" s="12"/>
      <c r="E198" s="12"/>
      <c r="F198" s="12"/>
      <c r="G198" s="12"/>
      <c r="H198" s="13"/>
      <c r="I198" s="12"/>
    </row>
    <row r="199" customFormat="false" ht="15" hidden="false" customHeight="false" outlineLevel="0" collapsed="false">
      <c r="A199" s="13"/>
      <c r="B199" s="12"/>
      <c r="C199" s="12"/>
      <c r="D199" s="12"/>
      <c r="E199" s="12"/>
      <c r="F199" s="12"/>
      <c r="G199" s="12"/>
      <c r="H199" s="13"/>
      <c r="I199" s="12"/>
    </row>
    <row r="200" customFormat="false" ht="15" hidden="false" customHeight="false" outlineLevel="0" collapsed="false">
      <c r="A200" s="13"/>
      <c r="B200" s="12"/>
      <c r="C200" s="12"/>
      <c r="D200" s="12"/>
      <c r="E200" s="12"/>
      <c r="F200" s="12"/>
      <c r="G200" s="12"/>
      <c r="H200" s="13"/>
      <c r="I200" s="12"/>
    </row>
    <row r="201" customFormat="false" ht="15" hidden="false" customHeight="false" outlineLevel="0" collapsed="false">
      <c r="A201" s="13"/>
      <c r="B201" s="12"/>
      <c r="C201" s="12"/>
      <c r="D201" s="12"/>
      <c r="E201" s="12"/>
      <c r="F201" s="12"/>
      <c r="G201" s="12"/>
      <c r="H201" s="13"/>
      <c r="I201" s="12"/>
    </row>
    <row r="202" customFormat="false" ht="15" hidden="false" customHeight="false" outlineLevel="0" collapsed="false">
      <c r="A202" s="13"/>
      <c r="B202" s="12"/>
      <c r="C202" s="12"/>
      <c r="D202" s="12"/>
      <c r="E202" s="12"/>
      <c r="F202" s="12"/>
      <c r="G202" s="12"/>
      <c r="H202" s="13"/>
      <c r="I202" s="12"/>
    </row>
    <row r="203" customFormat="false" ht="15" hidden="false" customHeight="false" outlineLevel="0" collapsed="false">
      <c r="A203" s="13"/>
      <c r="B203" s="12"/>
      <c r="C203" s="12"/>
      <c r="D203" s="12"/>
      <c r="E203" s="12"/>
      <c r="F203" s="12"/>
      <c r="G203" s="12"/>
      <c r="H203" s="13"/>
      <c r="I203" s="12"/>
    </row>
  </sheetData>
  <dataValidations count="2">
    <dataValidation allowBlank="true" errorStyle="stop" operator="between" showDropDown="false" showErrorMessage="false" showInputMessage="false" sqref="D4:D203" type="list">
      <formula1>"Telephone,Email,LinkedIn message,Meeting — in person,Meeting — video,Event,Proposal issued,Other"</formula1>
      <formula2>0</formula2>
    </dataValidation>
    <dataValidation allowBlank="true" errorStyle="stop" operator="between" showDropDown="false" showErrorMessage="false" showInputMessage="false" sqref="I4:I2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2026-09-11T10:56:45Z</dcterms:created>
  <dc:creator>openpyxl</dc:creator>
  <dc:description/>
  <dc:language>en-US</dc:language>
  <cp:lastModifiedBy/>
  <dcterms:modified xsi:type="dcterms:W3CDTF">2026-09-11T10:56:45Z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